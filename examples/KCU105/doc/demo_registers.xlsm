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0204450\AppData\Local\Temp\scp02562\home\t0204450\Projects\project_uoe\specification\design\doc\"/>
    </mc:Choice>
  </mc:AlternateContent>
  <bookViews>
    <workbookView xWindow="480" yWindow="345" windowWidth="12840" windowHeight="7245" activeTab="2"/>
  </bookViews>
  <sheets>
    <sheet name="Summary" sheetId="1" r:id="rId1"/>
    <sheet name="Enums" sheetId="43" r:id="rId2"/>
    <sheet name="Main" sheetId="50" r:id="rId3"/>
  </sheets>
  <externalReferences>
    <externalReference r:id="rId4"/>
  </externalReferences>
  <definedNames>
    <definedName name="AddressWidth">#REF!</definedName>
    <definedName name="Blabla_AddressWidth">#REF!</definedName>
    <definedName name="Blabla_CollapseRegCheckBox">#REF!</definedName>
    <definedName name="Blabla_DataWidth">#REF!</definedName>
    <definedName name="Blabla_NbFields">#REF!</definedName>
    <definedName name="Blabla_RegButtons">#REF!</definedName>
    <definedName name="Blabla_RegName">#REF!</definedName>
    <definedName name="DataWidth">#REF!</definedName>
    <definedName name="Discrete_AddressWidth">#REF!</definedName>
    <definedName name="Discrete_CollapseRegCheckBox">#REF!</definedName>
    <definedName name="Discrete_DataWidth">#REF!</definedName>
    <definedName name="Discrete_NbFields">#REF!</definedName>
    <definedName name="Discrete_RegButtons">#REF!</definedName>
    <definedName name="Discrete_RegName">#REF!</definedName>
    <definedName name="Main_AddressWidth">Main!$B$3</definedName>
    <definedName name="Main_CollapseRegCheckBox">Main!$A$5</definedName>
    <definedName name="Main_DataWidth">Main!$B$4</definedName>
    <definedName name="Main_NbFields">Main!$M$4</definedName>
    <definedName name="Main_RegButtons">Main!$AC$3:$AR$4</definedName>
    <definedName name="Main_RegName">Main!$M$3</definedName>
    <definedName name="NbFields">#REF!</definedName>
    <definedName name="NewAddressWidth">Summary!$C$9</definedName>
    <definedName name="NewBaseAddress">Summary!$C$11</definedName>
    <definedName name="NewDataWidth">Summary!$C$10</definedName>
    <definedName name="NewEnumName">Enums!$E$3</definedName>
    <definedName name="NewEnumNumber">Enums!$E$4</definedName>
    <definedName name="NewTabName">Summary!$C$8</definedName>
    <definedName name="RegName">#REF!</definedName>
    <definedName name="SingleMultipleOutput">Summary!$C$19</definedName>
    <definedName name="Tab1_AddressWidth">#REF!</definedName>
    <definedName name="Tab1_DataWidth">#REF!</definedName>
    <definedName name="Tab1_NbFields">#REF!</definedName>
    <definedName name="Tab1_RegButtons">#REF!</definedName>
    <definedName name="Tab1_RegName">#REF!</definedName>
    <definedName name="Tab2_AddressWidth">#REF!</definedName>
    <definedName name="Tab2_DataWidth">#REF!</definedName>
    <definedName name="Tab2_NbFields">#REF!</definedName>
    <definedName name="Tab2_RegButtons">#REF!</definedName>
    <definedName name="Tab2_RegName">#REF!</definedName>
    <definedName name="Tata_AddressWidth">#REF!</definedName>
    <definedName name="Tata_DataWidth">#REF!</definedName>
    <definedName name="Tata_NbFields">#REF!</definedName>
    <definedName name="Tata_RegName">#REF!</definedName>
    <definedName name="Test_AddressWidth">#REF!</definedName>
    <definedName name="Test_CollapseRegCheckBox">#REF!</definedName>
    <definedName name="Test_DataWidth">#REF!</definedName>
    <definedName name="Test_NbFields">#REF!</definedName>
    <definedName name="Test_RegButtons">#REF!</definedName>
    <definedName name="Test_RegName">#REF!</definedName>
    <definedName name="Titi_AddressWidth">#REF!</definedName>
    <definedName name="Titi_DataWidth">#REF!</definedName>
    <definedName name="Titi_NbFields">#REF!</definedName>
    <definedName name="Titi_RegName">#REF!</definedName>
    <definedName name="Toto_AddressWidth">#REF!</definedName>
    <definedName name="Toto_DataWidth">#REF!</definedName>
    <definedName name="Toto_NbFields">#REF!</definedName>
    <definedName name="Toto_RegName">#REF!</definedName>
    <definedName name="VhdlActiveReset">Summary!$C$23</definedName>
    <definedName name="VhdlAsyncReset">Summary!$C$24</definedName>
  </definedNames>
  <calcPr calcId="162913"/>
</workbook>
</file>

<file path=xl/calcChain.xml><?xml version="1.0" encoding="utf-8"?>
<calcChain xmlns="http://schemas.openxmlformats.org/spreadsheetml/2006/main">
  <c r="D12" i="50" l="1"/>
  <c r="AM12" i="50" s="1"/>
  <c r="D13" i="50" l="1"/>
  <c r="AM13" i="50" s="1"/>
  <c r="D11" i="50"/>
  <c r="AM11" i="50" s="1"/>
  <c r="D10" i="50"/>
  <c r="AM10" i="50" s="1"/>
  <c r="C9" i="50"/>
  <c r="D25" i="50" l="1"/>
  <c r="AM25" i="50" s="1"/>
  <c r="C24" i="50"/>
  <c r="D22" i="50"/>
  <c r="AM22" i="50" s="1"/>
  <c r="C21" i="50"/>
  <c r="D19" i="50"/>
  <c r="AM19" i="50" s="1"/>
  <c r="C18" i="50"/>
  <c r="D16" i="50"/>
  <c r="AM16" i="50" s="1"/>
  <c r="C15" i="50"/>
</calcChain>
</file>

<file path=xl/comments1.xml><?xml version="1.0" encoding="utf-8"?>
<comments xmlns="http://schemas.openxmlformats.org/spreadsheetml/2006/main">
  <authors>
    <author>Mathias CHIRON</author>
  </authors>
  <commentList>
    <comment ref="C8" authorId="0" shapeId="0">
      <text>
        <r>
          <rPr>
            <sz val="9"/>
            <color indexed="81"/>
            <rFont val="Tahoma"/>
            <family val="2"/>
          </rPr>
          <t>Registers Table Name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Should correspond to the required address width of the slave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Authorized bus width : 8, 16 or 32 bits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Base Address to fill the Mapping table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SINGLE : All registers sheets are concatenate in a single output. Base adresse for each table are given by the Mapping table. The name of the output file is given by the name of the xlsm file.
MULTIPLE : All registers sheets are treated separetely. In this case, the name of the output files is given by the name of the sheet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>State at which the reset signal is asserted (active low or active high)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 xml:space="preserve">Type of reset Used 
(synchronous or asynchronous resets)
</t>
        </r>
      </text>
    </comment>
  </commentList>
</comments>
</file>

<file path=xl/sharedStrings.xml><?xml version="1.0" encoding="utf-8"?>
<sst xmlns="http://schemas.openxmlformats.org/spreadsheetml/2006/main" count="259" uniqueCount="106">
  <si>
    <t>Suivi des modifications</t>
  </si>
  <si>
    <t>Description</t>
  </si>
  <si>
    <t>Date</t>
  </si>
  <si>
    <t>1.0</t>
  </si>
  <si>
    <t>Mapping</t>
  </si>
  <si>
    <t>Register Type</t>
  </si>
  <si>
    <t>RW</t>
  </si>
  <si>
    <t>RO</t>
  </si>
  <si>
    <t>WO</t>
  </si>
  <si>
    <t>RZ</t>
  </si>
  <si>
    <t>IRQ</t>
  </si>
  <si>
    <t>Type Enumerate</t>
  </si>
  <si>
    <t>Integer</t>
  </si>
  <si>
    <t>Real</t>
  </si>
  <si>
    <t>Data</t>
  </si>
  <si>
    <t>Enum</t>
  </si>
  <si>
    <t>Boolean</t>
  </si>
  <si>
    <t>Data
Type</t>
  </si>
  <si>
    <t>Create new table</t>
  </si>
  <si>
    <t>Name</t>
  </si>
  <si>
    <t>Address bus width</t>
  </si>
  <si>
    <t>Data bus width</t>
  </si>
  <si>
    <t>Global Parameters</t>
  </si>
  <si>
    <t>Base Address</t>
  </si>
  <si>
    <t>VHDL Parameters</t>
  </si>
  <si>
    <t>Active Reset</t>
  </si>
  <si>
    <t>Async Reset</t>
  </si>
  <si>
    <t>MAPPING OF PROCESSING FPGA</t>
  </si>
  <si>
    <t>Compatible with GenRegisters v3.0 and newer</t>
  </si>
  <si>
    <t>Tables</t>
  </si>
  <si>
    <t>Revision</t>
  </si>
  <si>
    <t>Registre</t>
  </si>
  <si>
    <t>Address Dec</t>
  </si>
  <si>
    <t>Address Hex</t>
  </si>
  <si>
    <t>Size</t>
  </si>
  <si>
    <t>MSB</t>
  </si>
  <si>
    <t>LSB</t>
  </si>
  <si>
    <t>Type</t>
  </si>
  <si>
    <t>Range Min</t>
  </si>
  <si>
    <t>Range Max</t>
  </si>
  <si>
    <t>Step</t>
  </si>
  <si>
    <t>Offset</t>
  </si>
  <si>
    <t>Unit / Enum</t>
  </si>
  <si>
    <t>Default Value</t>
  </si>
  <si>
    <t>Parameters</t>
  </si>
  <si>
    <t>Address Bus width</t>
  </si>
  <si>
    <t>Data Bus width</t>
  </si>
  <si>
    <t>Field Number</t>
  </si>
  <si>
    <t>none</t>
  </si>
  <si>
    <t>Manage Register</t>
  </si>
  <si>
    <t>Value</t>
  </si>
  <si>
    <t>T_BIT</t>
  </si>
  <si>
    <t>Built In Test State</t>
  </si>
  <si>
    <t>NO_BIT</t>
  </si>
  <si>
    <t>PBIT</t>
  </si>
  <si>
    <t>IBIT</t>
  </si>
  <si>
    <t>CBIT</t>
  </si>
  <si>
    <t>Enumerates sheet</t>
  </si>
  <si>
    <t>This sheet describes all enumerates used on this workbook.</t>
  </si>
  <si>
    <t>Data are used to generate headers and xml output files.</t>
  </si>
  <si>
    <t>Name of Enumerate</t>
  </si>
  <si>
    <t>Number of Values</t>
  </si>
  <si>
    <t>Manage Enumerates</t>
  </si>
  <si>
    <t>Signification</t>
  </si>
  <si>
    <t>E_STATE</t>
  </si>
  <si>
    <t>0x0000</t>
  </si>
  <si>
    <t>x</t>
  </si>
  <si>
    <t>For Python Tools</t>
  </si>
  <si>
    <t>Common Parameters</t>
  </si>
  <si>
    <t>Single/Multiple Output</t>
  </si>
  <si>
    <t>Float</t>
  </si>
  <si>
    <t>Création</t>
  </si>
  <si>
    <t>// Startup</t>
  </si>
  <si>
    <t>// On demand</t>
  </si>
  <si>
    <t>// Continuous tests</t>
  </si>
  <si>
    <t>Template Infos</t>
  </si>
  <si>
    <t>Author</t>
  </si>
  <si>
    <t>Data Copyright</t>
  </si>
  <si>
    <t>Purpose</t>
  </si>
  <si>
    <t>Mathias CHIRON</t>
  </si>
  <si>
    <t>False</t>
  </si>
  <si>
    <t>Test</t>
  </si>
  <si>
    <t>0x0100</t>
  </si>
  <si>
    <t>MULTIPLE</t>
  </si>
  <si>
    <t>UOE_10G_TARGET_IP</t>
  </si>
  <si>
    <t>REG_UOE_10G_TARGET_IP</t>
  </si>
  <si>
    <t>REG_UOE_10G_UDP_PORT</t>
  </si>
  <si>
    <t>REG_UOE_1G_TARGET_IP</t>
  </si>
  <si>
    <t>REG_UOE_1G_UDP_PORT</t>
  </si>
  <si>
    <t>UOE_1G_PORT_SRC</t>
  </si>
  <si>
    <t>UOE 10G frames souce port</t>
  </si>
  <si>
    <t>UOE 10G Targer IP</t>
  </si>
  <si>
    <t>UOE_1G_TARGET_IP</t>
  </si>
  <si>
    <t>UOE 1G Targer IP</t>
  </si>
  <si>
    <t>UOE_10G_PORT_SRC</t>
  </si>
  <si>
    <t>REG_SFP_STATUS_VECTOR</t>
  </si>
  <si>
    <t>Demo registers</t>
  </si>
  <si>
    <t>Main</t>
  </si>
  <si>
    <t>REG_VERSION</t>
  </si>
  <si>
    <t>VERSION</t>
  </si>
  <si>
    <t>Version number</t>
  </si>
  <si>
    <t>REVISION</t>
  </si>
  <si>
    <t>Revision number</t>
  </si>
  <si>
    <t>Debug number</t>
  </si>
  <si>
    <t>BOARD_ID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</si>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</sst>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5" tint="0.79998168889431442"/>
      <name val="Arial"/>
      <family val="2"/>
    </font>
    <font>
      <sz val="10"/>
      <name val="Arial"/>
      <family val="2"/>
    </font>
    <font>
      <sz val="11"/>
      <color rgb="FF000000"/>
      <name val="Arial"/>
      <family val="2"/>
    </font>
    <font>
      <i/>
      <sz val="11"/>
      <color theme="1"/>
      <name val="Arial"/>
      <family val="2"/>
    </font>
    <font>
      <sz val="9"/>
      <color indexed="81"/>
      <name val="Tahoma"/>
      <family val="2"/>
    </font>
    <font>
      <b/>
      <sz val="20"/>
      <color theme="1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8"/>
      <color indexed="9"/>
      <name val="Arial"/>
      <family val="2"/>
    </font>
    <font>
      <b/>
      <sz val="10"/>
      <color theme="1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sz val="8"/>
      <color rgb="FF0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00808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theme="4" tint="0.59996337778862885"/>
      </bottom>
      <diagonal/>
    </border>
    <border>
      <left/>
      <right style="medium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double">
        <color indexed="64"/>
      </bottom>
      <diagonal/>
    </border>
    <border>
      <left/>
      <right/>
      <top style="thick">
        <color indexed="64"/>
      </top>
      <bottom style="double">
        <color indexed="64"/>
      </bottom>
      <diagonal/>
    </border>
    <border>
      <left/>
      <right style="thick">
        <color indexed="64"/>
      </right>
      <top style="thick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theme="4" tint="0.59996337778862885"/>
      </left>
      <right style="thick">
        <color auto="1"/>
      </right>
      <top style="thin">
        <color theme="4" tint="0.59996337778862885"/>
      </top>
      <bottom style="thin">
        <color theme="4" tint="0.59996337778862885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1" fillId="0" borderId="0" xfId="0" applyFont="1"/>
    <xf numFmtId="0" fontId="2" fillId="0" borderId="4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2" fillId="0" borderId="12" xfId="0" quotePrefix="1" applyFont="1" applyBorder="1" applyAlignment="1">
      <alignment vertical="center"/>
    </xf>
    <xf numFmtId="0" fontId="2" fillId="0" borderId="13" xfId="0" quotePrefix="1" applyFont="1" applyBorder="1" applyAlignment="1">
      <alignment vertical="center"/>
    </xf>
    <xf numFmtId="0" fontId="2" fillId="0" borderId="14" xfId="0" quotePrefix="1" applyFont="1" applyBorder="1" applyAlignment="1">
      <alignment vertical="center"/>
    </xf>
    <xf numFmtId="0" fontId="2" fillId="0" borderId="15" xfId="0" quotePrefix="1" applyFont="1" applyBorder="1" applyAlignment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0" borderId="5" xfId="0" quotePrefix="1" applyFont="1" applyBorder="1" applyAlignment="1">
      <alignment horizontal="center" vertical="center"/>
    </xf>
    <xf numFmtId="0" fontId="2" fillId="0" borderId="7" xfId="0" quotePrefix="1" applyFont="1" applyBorder="1" applyAlignment="1">
      <alignment horizontal="center" vertical="center"/>
    </xf>
    <xf numFmtId="0" fontId="2" fillId="0" borderId="9" xfId="0" quotePrefix="1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>
      <alignment horizontal="center"/>
    </xf>
    <xf numFmtId="0" fontId="6" fillId="0" borderId="0" xfId="0" applyFont="1" applyAlignment="1"/>
    <xf numFmtId="0" fontId="0" fillId="0" borderId="17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2" fillId="0" borderId="0" xfId="0" applyFont="1"/>
    <xf numFmtId="0" fontId="8" fillId="0" borderId="0" xfId="0" applyFont="1"/>
    <xf numFmtId="0" fontId="0" fillId="0" borderId="31" xfId="0" quotePrefix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5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2" borderId="9" xfId="0" applyFont="1" applyFill="1" applyBorder="1" applyAlignment="1">
      <alignment vertical="center"/>
    </xf>
    <xf numFmtId="0" fontId="2" fillId="0" borderId="10" xfId="0" applyFont="1" applyBorder="1" applyAlignment="1">
      <alignment horizontal="center" vertical="center"/>
    </xf>
    <xf numFmtId="0" fontId="0" fillId="0" borderId="33" xfId="0" applyBorder="1"/>
    <xf numFmtId="0" fontId="0" fillId="0" borderId="34" xfId="0" applyBorder="1" applyAlignment="1">
      <alignment horizontal="right"/>
    </xf>
    <xf numFmtId="0" fontId="9" fillId="3" borderId="0" xfId="0" applyFont="1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4" borderId="37" xfId="0" applyFont="1" applyFill="1" applyBorder="1"/>
    <xf numFmtId="0" fontId="13" fillId="4" borderId="38" xfId="0" applyFont="1" applyFill="1" applyBorder="1" applyAlignment="1">
      <alignment horizontal="center"/>
    </xf>
    <xf numFmtId="0" fontId="2" fillId="4" borderId="38" xfId="0" applyFont="1" applyFill="1" applyBorder="1"/>
    <xf numFmtId="0" fontId="2" fillId="4" borderId="39" xfId="0" applyFont="1" applyFill="1" applyBorder="1"/>
    <xf numFmtId="0" fontId="2" fillId="0" borderId="40" xfId="0" applyFont="1" applyBorder="1"/>
    <xf numFmtId="0" fontId="2" fillId="0" borderId="42" xfId="0" applyFont="1" applyBorder="1"/>
    <xf numFmtId="0" fontId="2" fillId="0" borderId="43" xfId="0" applyFont="1" applyBorder="1"/>
    <xf numFmtId="0" fontId="2" fillId="4" borderId="44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7" xfId="0" applyFont="1" applyBorder="1"/>
    <xf numFmtId="0" fontId="2" fillId="0" borderId="48" xfId="0" applyFont="1" applyBorder="1"/>
    <xf numFmtId="0" fontId="2" fillId="0" borderId="34" xfId="0" applyFont="1" applyBorder="1"/>
    <xf numFmtId="0" fontId="2" fillId="0" borderId="35" xfId="0" applyFont="1" applyBorder="1" applyAlignment="1">
      <alignment horizontal="center"/>
    </xf>
    <xf numFmtId="0" fontId="2" fillId="0" borderId="35" xfId="0" applyFont="1" applyBorder="1"/>
    <xf numFmtId="0" fontId="2" fillId="0" borderId="45" xfId="0" applyFont="1" applyBorder="1"/>
    <xf numFmtId="0" fontId="0" fillId="5" borderId="35" xfId="0" applyFill="1" applyBorder="1"/>
    <xf numFmtId="0" fontId="0" fillId="5" borderId="35" xfId="0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6" borderId="24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0" fillId="6" borderId="24" xfId="0" applyFill="1" applyBorder="1" applyAlignment="1">
      <alignment horizontal="center"/>
    </xf>
    <xf numFmtId="0" fontId="0" fillId="6" borderId="25" xfId="0" applyFill="1" applyBorder="1"/>
    <xf numFmtId="0" fontId="0" fillId="6" borderId="26" xfId="0" applyFill="1" applyBorder="1"/>
    <xf numFmtId="0" fontId="0" fillId="6" borderId="30" xfId="0" applyFill="1" applyBorder="1"/>
    <xf numFmtId="0" fontId="0" fillId="6" borderId="29" xfId="0" applyFill="1" applyBorder="1"/>
    <xf numFmtId="0" fontId="0" fillId="0" borderId="35" xfId="0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10" fillId="3" borderId="49" xfId="0" applyFont="1" applyFill="1" applyBorder="1" applyAlignment="1">
      <alignment horizontal="center"/>
    </xf>
    <xf numFmtId="0" fontId="10" fillId="3" borderId="50" xfId="0" applyFont="1" applyFill="1" applyBorder="1" applyAlignment="1">
      <alignment horizontal="center"/>
    </xf>
    <xf numFmtId="0" fontId="14" fillId="4" borderId="51" xfId="0" applyFont="1" applyFill="1" applyBorder="1" applyAlignment="1">
      <alignment horizontal="center"/>
    </xf>
    <xf numFmtId="0" fontId="14" fillId="4" borderId="5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0" fillId="6" borderId="35" xfId="0" applyFill="1" applyBorder="1" applyAlignment="1">
      <alignment horizontal="right"/>
    </xf>
    <xf numFmtId="0" fontId="2" fillId="0" borderId="53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4" fillId="0" borderId="5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2" fillId="0" borderId="36" xfId="0" applyFont="1" applyBorder="1" applyAlignment="1">
      <alignment horizontal="right"/>
    </xf>
    <xf numFmtId="0" fontId="2" fillId="0" borderId="41" xfId="0" applyFont="1" applyBorder="1" applyAlignment="1">
      <alignment horizontal="right"/>
    </xf>
    <xf numFmtId="0" fontId="0" fillId="6" borderId="62" xfId="0" applyFill="1" applyBorder="1"/>
    <xf numFmtId="0" fontId="0" fillId="6" borderId="63" xfId="0" applyFill="1" applyBorder="1"/>
    <xf numFmtId="0" fontId="0" fillId="6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0" fillId="6" borderId="66" xfId="0" applyFill="1" applyBorder="1"/>
    <xf numFmtId="0" fontId="0" fillId="6" borderId="67" xfId="0" applyFill="1" applyBorder="1"/>
    <xf numFmtId="0" fontId="2" fillId="0" borderId="0" xfId="0" applyFont="1" applyFill="1" applyBorder="1" applyAlignment="1">
      <alignment horizontal="right"/>
    </xf>
    <xf numFmtId="0" fontId="1" fillId="6" borderId="23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horizontal="center" vertical="center" wrapText="1"/>
    </xf>
    <xf numFmtId="0" fontId="1" fillId="6" borderId="27" xfId="0" applyFont="1" applyFill="1" applyBorder="1" applyAlignment="1">
      <alignment horizontal="center" vertical="center"/>
    </xf>
    <xf numFmtId="0" fontId="1" fillId="6" borderId="28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 wrapText="1"/>
    </xf>
    <xf numFmtId="0" fontId="10" fillId="3" borderId="57" xfId="0" applyFont="1" applyFill="1" applyBorder="1" applyAlignment="1">
      <alignment horizontal="center"/>
    </xf>
    <xf numFmtId="0" fontId="10" fillId="3" borderId="58" xfId="0" applyFont="1" applyFill="1" applyBorder="1" applyAlignment="1">
      <alignment horizontal="center"/>
    </xf>
    <xf numFmtId="0" fontId="10" fillId="3" borderId="59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14" xfId="0" applyBorder="1" applyAlignment="1"/>
    <xf numFmtId="0" fontId="0" fillId="5" borderId="35" xfId="0" applyFill="1" applyBorder="1" applyAlignment="1"/>
    <xf numFmtId="0" fontId="0" fillId="0" borderId="35" xfId="0" applyBorder="1" applyAlignment="1"/>
    <xf numFmtId="0" fontId="0" fillId="0" borderId="35" xfId="0" applyBorder="1" applyAlignment="1">
      <alignment horizontal="center"/>
    </xf>
  </cellXfs>
  <cellStyles count="1">
    <cellStyle name="Normal" xfId="0" builtinId="0"/>
  </cellStyles>
  <dxfs count="9"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ont>
        <color indexed="23"/>
      </font>
      <fill>
        <patternFill>
          <bgColor indexed="23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742950</xdr:colOff>
          <xdr:row>12</xdr:row>
          <xdr:rowOff>66675</xdr:rowOff>
        </xdr:from>
        <xdr:to>
          <xdr:col>2</xdr:col>
          <xdr:colOff>695325</xdr:colOff>
          <xdr:row>13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847725</xdr:colOff>
      <xdr:row>6</xdr:row>
      <xdr:rowOff>0</xdr:rowOff>
    </xdr:from>
    <xdr:to>
      <xdr:col>1</xdr:col>
      <xdr:colOff>1924050</xdr:colOff>
      <xdr:row>6</xdr:row>
      <xdr:rowOff>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847725" y="180975"/>
          <a:ext cx="2362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Exemple</a:t>
          </a:r>
        </a:p>
      </xdr:txBody>
    </xdr:sp>
    <xdr:clientData/>
  </xdr:twoCellAnchor>
  <xdr:twoCellAnchor>
    <xdr:from>
      <xdr:col>0</xdr:col>
      <xdr:colOff>847725</xdr:colOff>
      <xdr:row>6</xdr:row>
      <xdr:rowOff>0</xdr:rowOff>
    </xdr:from>
    <xdr:to>
      <xdr:col>1</xdr:col>
      <xdr:colOff>1924050</xdr:colOff>
      <xdr:row>6</xdr:row>
      <xdr:rowOff>0</xdr:rowOff>
    </xdr:to>
    <xdr:sp macro="" textlink="">
      <xdr:nvSpPr>
        <xdr:cNvPr id="3" name="Text Box 2"/>
        <xdr:cNvSpPr txBox="1">
          <a:spLocks noChangeArrowheads="1"/>
        </xdr:cNvSpPr>
      </xdr:nvSpPr>
      <xdr:spPr bwMode="auto">
        <a:xfrm>
          <a:off x="847725" y="180975"/>
          <a:ext cx="23622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Exemple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47625</xdr:rowOff>
        </xdr:from>
        <xdr:to>
          <xdr:col>7</xdr:col>
          <xdr:colOff>447675</xdr:colOff>
          <xdr:row>3</xdr:row>
          <xdr:rowOff>133350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Enumerate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2</xdr:row>
          <xdr:rowOff>47625</xdr:rowOff>
        </xdr:from>
        <xdr:to>
          <xdr:col>38</xdr:col>
          <xdr:colOff>200025</xdr:colOff>
          <xdr:row>3</xdr:row>
          <xdr:rowOff>133350</xdr:rowOff>
        </xdr:to>
        <xdr:sp macro="" textlink="">
          <xdr:nvSpPr>
            <xdr:cNvPr id="52225" name="Add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704850</xdr:colOff>
          <xdr:row>2</xdr:row>
          <xdr:rowOff>47625</xdr:rowOff>
        </xdr:from>
        <xdr:to>
          <xdr:col>42</xdr:col>
          <xdr:colOff>257175</xdr:colOff>
          <xdr:row>3</xdr:row>
          <xdr:rowOff>133350</xdr:rowOff>
        </xdr:to>
        <xdr:sp macro="" textlink="">
          <xdr:nvSpPr>
            <xdr:cNvPr id="52226" name="AddIrqReg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Irq Registers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762000</xdr:colOff>
          <xdr:row>2</xdr:row>
          <xdr:rowOff>47625</xdr:rowOff>
        </xdr:from>
        <xdr:to>
          <xdr:col>43</xdr:col>
          <xdr:colOff>2286000</xdr:colOff>
          <xdr:row>3</xdr:row>
          <xdr:rowOff>133350</xdr:rowOff>
        </xdr:to>
        <xdr:sp macro="" textlink="">
          <xdr:nvSpPr>
            <xdr:cNvPr id="52227" name="Remov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2790825</xdr:colOff>
          <xdr:row>2</xdr:row>
          <xdr:rowOff>47625</xdr:rowOff>
        </xdr:from>
        <xdr:to>
          <xdr:col>43</xdr:col>
          <xdr:colOff>5124450</xdr:colOff>
          <xdr:row>3</xdr:row>
          <xdr:rowOff>133350</xdr:rowOff>
        </xdr:to>
        <xdr:sp macro="" textlink="">
          <xdr:nvSpPr>
            <xdr:cNvPr id="52228" name="UpdateAddr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Addresses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57150</xdr:rowOff>
        </xdr:from>
        <xdr:to>
          <xdr:col>0</xdr:col>
          <xdr:colOff>3438525</xdr:colOff>
          <xdr:row>5</xdr:row>
          <xdr:rowOff>85725</xdr:rowOff>
        </xdr:to>
        <xdr:sp macro="" textlink="">
          <xdr:nvSpPr>
            <xdr:cNvPr id="52229" name="Collapse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Collapse Register List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uoe_regis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2:M34"/>
  <sheetViews>
    <sheetView showGridLines="0" workbookViewId="0">
      <selection activeCell="E8" sqref="E8"/>
    </sheetView>
  </sheetViews>
  <sheetFormatPr baseColWidth="10" defaultRowHeight="14.25" x14ac:dyDescent="0.2"/>
  <cols>
    <col min="1" max="1" width="4.125" customWidth="1"/>
    <col min="2" max="2" width="18.625" customWidth="1"/>
    <col min="3" max="3" width="19.125" customWidth="1"/>
    <col min="4" max="4" width="5.625" customWidth="1"/>
    <col min="5" max="5" width="31.375" customWidth="1"/>
    <col min="6" max="6" width="16.625" customWidth="1"/>
    <col min="7" max="7" width="4.125" customWidth="1"/>
    <col min="8" max="9" width="8.625" customWidth="1"/>
    <col min="10" max="10" width="59.625" customWidth="1"/>
    <col min="11" max="11" width="4.125" customWidth="1"/>
  </cols>
  <sheetData>
    <row r="2" spans="2:13" ht="26.25" x14ac:dyDescent="0.4">
      <c r="B2" s="23" t="s">
        <v>27</v>
      </c>
    </row>
    <row r="3" spans="2:13" x14ac:dyDescent="0.2">
      <c r="B3" s="22" t="s">
        <v>28</v>
      </c>
    </row>
    <row r="5" spans="2:13" ht="15.75" thickBot="1" x14ac:dyDescent="0.3">
      <c r="B5" s="1" t="s">
        <v>18</v>
      </c>
      <c r="E5" s="1" t="s">
        <v>4</v>
      </c>
      <c r="H5" s="1" t="s">
        <v>0</v>
      </c>
      <c r="I5" s="1"/>
      <c r="L5" s="1" t="s">
        <v>11</v>
      </c>
      <c r="M5" s="1"/>
    </row>
    <row r="6" spans="2:13" ht="16.5" thickTop="1" thickBot="1" x14ac:dyDescent="0.3">
      <c r="B6" s="99" t="s">
        <v>22</v>
      </c>
      <c r="C6" s="100"/>
      <c r="E6" s="60" t="s">
        <v>29</v>
      </c>
      <c r="F6" s="60" t="s">
        <v>23</v>
      </c>
      <c r="H6" s="61" t="s">
        <v>30</v>
      </c>
      <c r="I6" s="62" t="s">
        <v>2</v>
      </c>
      <c r="J6" s="63" t="s">
        <v>1</v>
      </c>
      <c r="L6" s="101" t="s">
        <v>5</v>
      </c>
      <c r="M6" s="97" t="s">
        <v>17</v>
      </c>
    </row>
    <row r="7" spans="2:13" ht="15" x14ac:dyDescent="0.2">
      <c r="B7" s="64"/>
      <c r="C7" s="65"/>
      <c r="E7" s="77" t="s">
        <v>97</v>
      </c>
      <c r="F7" s="27" t="s">
        <v>65</v>
      </c>
      <c r="H7" s="11" t="s">
        <v>3</v>
      </c>
      <c r="I7" s="7"/>
      <c r="J7" s="2" t="s">
        <v>71</v>
      </c>
      <c r="L7" s="102"/>
      <c r="M7" s="98"/>
    </row>
    <row r="8" spans="2:13" x14ac:dyDescent="0.2">
      <c r="B8" s="66" t="s">
        <v>19</v>
      </c>
      <c r="C8" s="25" t="s">
        <v>81</v>
      </c>
      <c r="E8" s="72"/>
      <c r="F8" s="28"/>
      <c r="H8" s="12"/>
      <c r="I8" s="8"/>
      <c r="J8" s="3"/>
      <c r="L8" s="15" t="s">
        <v>6</v>
      </c>
      <c r="M8" s="17" t="s">
        <v>12</v>
      </c>
    </row>
    <row r="9" spans="2:13" x14ac:dyDescent="0.2">
      <c r="B9" s="66" t="s">
        <v>20</v>
      </c>
      <c r="C9" s="26">
        <v>8</v>
      </c>
      <c r="E9" s="85"/>
      <c r="F9" s="28"/>
      <c r="H9" s="12"/>
      <c r="I9" s="8"/>
      <c r="J9" s="3"/>
      <c r="L9" s="16" t="s">
        <v>7</v>
      </c>
      <c r="M9" s="18" t="s">
        <v>13</v>
      </c>
    </row>
    <row r="10" spans="2:13" x14ac:dyDescent="0.2">
      <c r="B10" s="66" t="s">
        <v>21</v>
      </c>
      <c r="C10" s="26">
        <v>32</v>
      </c>
      <c r="E10" s="85"/>
      <c r="F10" s="28"/>
      <c r="H10" s="12"/>
      <c r="I10" s="8"/>
      <c r="J10" s="3"/>
      <c r="L10" s="16" t="s">
        <v>8</v>
      </c>
      <c r="M10" s="18" t="s">
        <v>14</v>
      </c>
    </row>
    <row r="11" spans="2:13" x14ac:dyDescent="0.2">
      <c r="B11" s="66" t="s">
        <v>23</v>
      </c>
      <c r="C11" s="20" t="s">
        <v>82</v>
      </c>
      <c r="E11" s="85"/>
      <c r="F11" s="28"/>
      <c r="H11" s="12"/>
      <c r="I11" s="8"/>
      <c r="J11" s="3"/>
      <c r="L11" s="16" t="s">
        <v>9</v>
      </c>
      <c r="M11" s="18" t="s">
        <v>15</v>
      </c>
    </row>
    <row r="12" spans="2:13" ht="15" thickBot="1" x14ac:dyDescent="0.25">
      <c r="B12" s="67"/>
      <c r="C12" s="68"/>
      <c r="E12" s="29"/>
      <c r="F12" s="28"/>
      <c r="H12" s="12"/>
      <c r="I12" s="8"/>
      <c r="J12" s="3"/>
      <c r="L12" s="16" t="s">
        <v>10</v>
      </c>
      <c r="M12" s="18" t="s">
        <v>16</v>
      </c>
    </row>
    <row r="13" spans="2:13" ht="15" thickBot="1" x14ac:dyDescent="0.25">
      <c r="B13" s="70"/>
      <c r="C13" s="69"/>
      <c r="E13" s="29"/>
      <c r="F13" s="28"/>
      <c r="H13" s="12"/>
      <c r="I13" s="8"/>
      <c r="J13" s="3"/>
      <c r="L13" s="86"/>
      <c r="M13" s="87" t="s">
        <v>70</v>
      </c>
    </row>
    <row r="14" spans="2:13" ht="15.75" thickTop="1" thickBot="1" x14ac:dyDescent="0.25">
      <c r="B14" s="67"/>
      <c r="C14" s="68"/>
      <c r="E14" s="29"/>
      <c r="F14" s="28"/>
      <c r="H14" s="12"/>
      <c r="I14" s="8"/>
      <c r="J14" s="3"/>
    </row>
    <row r="15" spans="2:13" x14ac:dyDescent="0.2">
      <c r="E15" s="29"/>
      <c r="F15" s="28"/>
      <c r="H15" s="12"/>
      <c r="I15" s="8"/>
      <c r="J15" s="3"/>
    </row>
    <row r="16" spans="2:13" ht="15.75" thickBot="1" x14ac:dyDescent="0.3">
      <c r="B16" s="1" t="s">
        <v>67</v>
      </c>
      <c r="E16" s="29"/>
      <c r="F16" s="28"/>
      <c r="H16" s="12"/>
      <c r="I16" s="8"/>
      <c r="J16" s="3"/>
    </row>
    <row r="17" spans="2:10" ht="15.75" thickBot="1" x14ac:dyDescent="0.25">
      <c r="B17" s="99" t="s">
        <v>68</v>
      </c>
      <c r="C17" s="100"/>
      <c r="E17" s="29"/>
      <c r="F17" s="28"/>
      <c r="H17" s="12"/>
      <c r="I17" s="8"/>
      <c r="J17" s="3"/>
    </row>
    <row r="18" spans="2:10" x14ac:dyDescent="0.2">
      <c r="B18" s="70"/>
      <c r="C18" s="69"/>
      <c r="E18" s="29"/>
      <c r="F18" s="28"/>
      <c r="H18" s="12"/>
      <c r="I18" s="8"/>
      <c r="J18" s="3"/>
    </row>
    <row r="19" spans="2:10" x14ac:dyDescent="0.2">
      <c r="B19" s="66" t="s">
        <v>69</v>
      </c>
      <c r="C19" s="24" t="s">
        <v>83</v>
      </c>
      <c r="E19" s="29"/>
      <c r="F19" s="28"/>
      <c r="H19" s="12"/>
      <c r="I19" s="8"/>
      <c r="J19" s="3"/>
    </row>
    <row r="20" spans="2:10" ht="15" thickBot="1" x14ac:dyDescent="0.25">
      <c r="B20" s="67"/>
      <c r="C20" s="68"/>
      <c r="E20" s="29"/>
      <c r="F20" s="28"/>
      <c r="H20" s="12"/>
      <c r="I20" s="8"/>
      <c r="J20" s="3"/>
    </row>
    <row r="21" spans="2:10" ht="15.75" thickBot="1" x14ac:dyDescent="0.25">
      <c r="B21" s="99" t="s">
        <v>24</v>
      </c>
      <c r="C21" s="100"/>
      <c r="E21" s="30"/>
      <c r="F21" s="28"/>
      <c r="H21" s="12"/>
      <c r="I21" s="8"/>
      <c r="J21" s="3"/>
    </row>
    <row r="22" spans="2:10" x14ac:dyDescent="0.2">
      <c r="B22" s="70"/>
      <c r="C22" s="69"/>
      <c r="E22" s="30"/>
      <c r="F22" s="28"/>
      <c r="H22" s="12"/>
      <c r="I22" s="8"/>
      <c r="J22" s="3"/>
    </row>
    <row r="23" spans="2:10" x14ac:dyDescent="0.2">
      <c r="B23" s="66" t="s">
        <v>25</v>
      </c>
      <c r="C23" s="24">
        <v>1</v>
      </c>
      <c r="E23" s="29"/>
      <c r="F23" s="28"/>
      <c r="H23" s="12"/>
      <c r="I23" s="8"/>
      <c r="J23" s="3"/>
    </row>
    <row r="24" spans="2:10" x14ac:dyDescent="0.2">
      <c r="B24" s="66" t="s">
        <v>26</v>
      </c>
      <c r="C24" s="21" t="s">
        <v>80</v>
      </c>
      <c r="E24" s="29"/>
      <c r="F24" s="28"/>
      <c r="H24" s="12"/>
      <c r="I24" s="8"/>
      <c r="J24" s="3"/>
    </row>
    <row r="25" spans="2:10" ht="15" thickBot="1" x14ac:dyDescent="0.25">
      <c r="B25" s="67"/>
      <c r="C25" s="68"/>
      <c r="E25" s="31"/>
      <c r="F25" s="28"/>
      <c r="H25" s="12"/>
      <c r="I25" s="8"/>
      <c r="J25" s="3"/>
    </row>
    <row r="26" spans="2:10" x14ac:dyDescent="0.2">
      <c r="E26" s="30"/>
      <c r="F26" s="28"/>
      <c r="H26" s="12"/>
      <c r="I26" s="8"/>
      <c r="J26" s="3"/>
    </row>
    <row r="27" spans="2:10" ht="15.75" thickBot="1" x14ac:dyDescent="0.3">
      <c r="B27" s="1" t="s">
        <v>75</v>
      </c>
      <c r="E27" s="31"/>
      <c r="F27" s="28"/>
      <c r="H27" s="13"/>
      <c r="I27" s="9"/>
      <c r="J27" s="4"/>
    </row>
    <row r="28" spans="2:10" ht="15" thickTop="1" x14ac:dyDescent="0.2">
      <c r="B28" s="90"/>
      <c r="C28" s="91"/>
      <c r="E28" s="29"/>
      <c r="F28" s="28"/>
      <c r="H28" s="12"/>
      <c r="I28" s="8"/>
      <c r="J28" s="3"/>
    </row>
    <row r="29" spans="2:10" x14ac:dyDescent="0.2">
      <c r="B29" s="92" t="s">
        <v>76</v>
      </c>
      <c r="C29" s="93" t="s">
        <v>79</v>
      </c>
      <c r="E29" s="31"/>
      <c r="F29" s="28"/>
      <c r="H29" s="12"/>
      <c r="I29" s="9"/>
      <c r="J29" s="5"/>
    </row>
    <row r="30" spans="2:10" x14ac:dyDescent="0.2">
      <c r="B30" s="92" t="s">
        <v>78</v>
      </c>
      <c r="C30" s="93" t="s">
        <v>96</v>
      </c>
      <c r="E30" s="30"/>
      <c r="F30" s="28"/>
      <c r="H30" s="12"/>
      <c r="I30" s="9"/>
      <c r="J30" s="5"/>
    </row>
    <row r="31" spans="2:10" ht="15" thickBot="1" x14ac:dyDescent="0.25">
      <c r="B31" s="92" t="s">
        <v>77</v>
      </c>
      <c r="C31" s="93">
        <v>2022</v>
      </c>
      <c r="E31" s="32"/>
      <c r="F31" s="33"/>
      <c r="H31" s="14"/>
      <c r="I31" s="10"/>
      <c r="J31" s="6"/>
    </row>
    <row r="32" spans="2:10" ht="15" thickBot="1" x14ac:dyDescent="0.25">
      <c r="B32" s="94"/>
      <c r="C32" s="95"/>
    </row>
    <row r="33" spans="8:9" ht="15" thickTop="1" x14ac:dyDescent="0.2">
      <c r="H33" s="19"/>
      <c r="I33" s="19"/>
    </row>
    <row r="34" spans="8:9" x14ac:dyDescent="0.2">
      <c r="H34" s="19"/>
      <c r="I34" s="19"/>
    </row>
  </sheetData>
  <mergeCells count="5">
    <mergeCell ref="M6:M7"/>
    <mergeCell ref="B6:C6"/>
    <mergeCell ref="L6:L7"/>
    <mergeCell ref="B21:C21"/>
    <mergeCell ref="B17:C17"/>
  </mergeCells>
  <conditionalFormatting sqref="C10">
    <cfRule type="expression" dxfId="8" priority="3">
      <formula xml:space="preserve"> NOT(IF(NewDataWidth=8,TRUE,IF(NewDataWidth=16,TRUE,IF(NewDataWidth=32,TRUE,FALSE))))</formula>
    </cfRule>
  </conditionalFormatting>
  <conditionalFormatting sqref="C19">
    <cfRule type="expression" dxfId="7" priority="1">
      <formula xml:space="preserve"> NOT(IF(SingleMultipleOutput="SINGLE",TRUE,IF(SingleMultipleOutput="MULTIPLE",TRUE,FALSE)))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b">
                <anchor moveWithCells="1" sizeWithCells="1">
                  <from>
                    <xdr:col>1</xdr:col>
                    <xdr:colOff>742950</xdr:colOff>
                    <xdr:row>12</xdr:row>
                    <xdr:rowOff>66675</xdr:rowOff>
                  </from>
                  <to>
                    <xdr:col>2</xdr:col>
                    <xdr:colOff>695325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H12"/>
  <sheetViews>
    <sheetView workbookViewId="0">
      <pane ySplit="6" topLeftCell="A7" activePane="bottomLeft" state="frozen"/>
      <selection pane="bottomLeft" activeCell="D14" sqref="D14"/>
    </sheetView>
  </sheetViews>
  <sheetFormatPr baseColWidth="10" defaultRowHeight="14.25" x14ac:dyDescent="0.2"/>
  <cols>
    <col min="1" max="1" width="23.125" customWidth="1"/>
    <col min="2" max="2" width="27.125" customWidth="1"/>
    <col min="3" max="3" width="18.625" customWidth="1"/>
    <col min="4" max="4" width="20.625" customWidth="1"/>
    <col min="5" max="5" width="19.125" customWidth="1"/>
  </cols>
  <sheetData>
    <row r="1" spans="1:8" ht="15" x14ac:dyDescent="0.25">
      <c r="A1" s="1" t="s">
        <v>57</v>
      </c>
    </row>
    <row r="2" spans="1:8" ht="15" x14ac:dyDescent="0.2">
      <c r="A2" s="22" t="s">
        <v>58</v>
      </c>
      <c r="D2" s="106" t="s">
        <v>62</v>
      </c>
      <c r="E2" s="107"/>
      <c r="F2" s="107"/>
      <c r="G2" s="107"/>
      <c r="H2" s="107"/>
    </row>
    <row r="3" spans="1:8" x14ac:dyDescent="0.2">
      <c r="A3" s="22" t="s">
        <v>59</v>
      </c>
      <c r="D3" s="78" t="s">
        <v>60</v>
      </c>
      <c r="E3" s="71" t="s">
        <v>64</v>
      </c>
      <c r="F3" s="108"/>
      <c r="G3" s="108"/>
      <c r="H3" s="108"/>
    </row>
    <row r="4" spans="1:8" x14ac:dyDescent="0.2">
      <c r="A4" s="22"/>
      <c r="D4" s="78" t="s">
        <v>61</v>
      </c>
      <c r="E4" s="71">
        <v>5</v>
      </c>
      <c r="F4" s="108"/>
      <c r="G4" s="108"/>
      <c r="H4" s="108"/>
    </row>
    <row r="5" spans="1:8" ht="15" thickBot="1" x14ac:dyDescent="0.25"/>
    <row r="6" spans="1:8" ht="15.75" thickTop="1" thickBot="1" x14ac:dyDescent="0.25">
      <c r="A6" s="73" t="s">
        <v>50</v>
      </c>
      <c r="B6" s="74" t="s">
        <v>63</v>
      </c>
      <c r="C6" s="103" t="s">
        <v>1</v>
      </c>
      <c r="D6" s="104"/>
      <c r="E6" s="105"/>
    </row>
    <row r="7" spans="1:8" ht="15.75" thickTop="1" thickBot="1" x14ac:dyDescent="0.25">
      <c r="A7" s="39"/>
    </row>
    <row r="8" spans="1:8" ht="15" thickBot="1" x14ac:dyDescent="0.25">
      <c r="A8" s="75" t="s">
        <v>51</v>
      </c>
      <c r="B8" s="76" t="s">
        <v>52</v>
      </c>
    </row>
    <row r="9" spans="1:8" ht="15" thickTop="1" x14ac:dyDescent="0.2">
      <c r="A9" s="79">
        <v>0</v>
      </c>
      <c r="B9" s="82" t="s">
        <v>53</v>
      </c>
    </row>
    <row r="10" spans="1:8" x14ac:dyDescent="0.2">
      <c r="A10" s="80">
        <v>1</v>
      </c>
      <c r="B10" s="83" t="s">
        <v>54</v>
      </c>
      <c r="C10" t="s">
        <v>72</v>
      </c>
    </row>
    <row r="11" spans="1:8" x14ac:dyDescent="0.2">
      <c r="A11" s="80">
        <v>2</v>
      </c>
      <c r="B11" s="83" t="s">
        <v>55</v>
      </c>
      <c r="C11" t="s">
        <v>73</v>
      </c>
    </row>
    <row r="12" spans="1:8" ht="15" thickBot="1" x14ac:dyDescent="0.25">
      <c r="A12" s="81">
        <v>3</v>
      </c>
      <c r="B12" s="84" t="s">
        <v>56</v>
      </c>
      <c r="C12" t="s">
        <v>74</v>
      </c>
    </row>
  </sheetData>
  <mergeCells count="3">
    <mergeCell ref="C6:E6"/>
    <mergeCell ref="D2:H2"/>
    <mergeCell ref="F3:H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addEnum">
                <anchor moveWithCells="1" sizeWithCells="1">
                  <from>
                    <xdr:col>5</xdr:col>
                    <xdr:colOff>409575</xdr:colOff>
                    <xdr:row>2</xdr:row>
                    <xdr:rowOff>47625</xdr:rowOff>
                  </from>
                  <to>
                    <xdr:col>7</xdr:col>
                    <xdr:colOff>447675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R26"/>
  <sheetViews>
    <sheetView showGridLines="0" tabSelected="1" zoomScale="70" zoomScaleNormal="70" workbookViewId="0">
      <pane ySplit="7" topLeftCell="A8" activePane="bottomLeft" state="frozen"/>
      <selection pane="bottomLeft" activeCell="A28" sqref="A28"/>
    </sheetView>
  </sheetViews>
  <sheetFormatPr baseColWidth="10" defaultRowHeight="14.25" x14ac:dyDescent="0.2"/>
  <cols>
    <col min="1" max="1" width="45.625" customWidth="1"/>
    <col min="2" max="3" width="7.625" customWidth="1"/>
    <col min="4" max="4" width="4.625" customWidth="1"/>
    <col min="5" max="36" width="2.125" customWidth="1"/>
    <col min="37" max="37" width="7.625" customWidth="1"/>
    <col min="38" max="38" width="6.625" customWidth="1"/>
    <col min="39" max="39" width="10.625" customWidth="1"/>
    <col min="40" max="41" width="7.625" customWidth="1"/>
    <col min="42" max="43" width="10.625" customWidth="1"/>
    <col min="44" max="44" width="70.625" customWidth="1"/>
    <col min="46" max="47" width="25.625" customWidth="1"/>
  </cols>
  <sheetData>
    <row r="2" spans="1:44" ht="15" x14ac:dyDescent="0.2">
      <c r="A2" s="106" t="s">
        <v>44</v>
      </c>
      <c r="B2" s="109"/>
      <c r="E2" s="106" t="s">
        <v>49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</row>
    <row r="3" spans="1:44" ht="15" customHeight="1" x14ac:dyDescent="0.2">
      <c r="A3" s="58" t="s">
        <v>45</v>
      </c>
      <c r="B3" s="59">
        <v>8</v>
      </c>
      <c r="E3" s="111" t="s">
        <v>19</v>
      </c>
      <c r="F3" s="112"/>
      <c r="G3" s="112"/>
      <c r="H3" s="112"/>
      <c r="I3" s="112"/>
      <c r="J3" s="112"/>
      <c r="K3" s="112"/>
      <c r="L3" s="112"/>
      <c r="M3" s="113" t="s">
        <v>95</v>
      </c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1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</row>
    <row r="4" spans="1:44" ht="15" customHeight="1" x14ac:dyDescent="0.2">
      <c r="A4" s="58" t="s">
        <v>46</v>
      </c>
      <c r="B4" s="59">
        <v>32</v>
      </c>
      <c r="E4" s="111" t="s">
        <v>47</v>
      </c>
      <c r="F4" s="112"/>
      <c r="G4" s="112"/>
      <c r="H4" s="112"/>
      <c r="I4" s="112"/>
      <c r="J4" s="112"/>
      <c r="K4" s="112"/>
      <c r="L4" s="112"/>
      <c r="M4" s="113">
        <v>2</v>
      </c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12"/>
      <c r="AR4" s="112"/>
    </row>
    <row r="5" spans="1:44" x14ac:dyDescent="0.2">
      <c r="A5" s="110"/>
      <c r="B5" s="110"/>
    </row>
    <row r="6" spans="1:44" x14ac:dyDescent="0.2">
      <c r="E6" s="34" t="s">
        <v>35</v>
      </c>
      <c r="AJ6" s="35" t="s">
        <v>36</v>
      </c>
    </row>
    <row r="7" spans="1:44" ht="25.5" customHeight="1" x14ac:dyDescent="0.2">
      <c r="A7" s="37" t="s">
        <v>31</v>
      </c>
      <c r="B7" s="36" t="s">
        <v>32</v>
      </c>
      <c r="C7" s="36" t="s">
        <v>33</v>
      </c>
      <c r="D7" s="36" t="s">
        <v>34</v>
      </c>
      <c r="E7" s="38">
        <v>31</v>
      </c>
      <c r="F7" s="38">
        <v>30</v>
      </c>
      <c r="G7" s="38">
        <v>29</v>
      </c>
      <c r="H7" s="38">
        <v>28</v>
      </c>
      <c r="I7" s="38">
        <v>27</v>
      </c>
      <c r="J7" s="38">
        <v>26</v>
      </c>
      <c r="K7" s="38">
        <v>25</v>
      </c>
      <c r="L7" s="38">
        <v>24</v>
      </c>
      <c r="M7" s="38">
        <v>23</v>
      </c>
      <c r="N7" s="38">
        <v>22</v>
      </c>
      <c r="O7" s="38">
        <v>21</v>
      </c>
      <c r="P7" s="38">
        <v>20</v>
      </c>
      <c r="Q7" s="38">
        <v>19</v>
      </c>
      <c r="R7" s="38">
        <v>18</v>
      </c>
      <c r="S7" s="38">
        <v>17</v>
      </c>
      <c r="T7" s="38">
        <v>16</v>
      </c>
      <c r="U7" s="38">
        <v>15</v>
      </c>
      <c r="V7" s="38">
        <v>14</v>
      </c>
      <c r="W7" s="38">
        <v>13</v>
      </c>
      <c r="X7" s="38">
        <v>12</v>
      </c>
      <c r="Y7" s="38">
        <v>11</v>
      </c>
      <c r="Z7" s="38">
        <v>10</v>
      </c>
      <c r="AA7" s="38">
        <v>9</v>
      </c>
      <c r="AB7" s="38">
        <v>8</v>
      </c>
      <c r="AC7" s="38">
        <v>7</v>
      </c>
      <c r="AD7" s="38">
        <v>6</v>
      </c>
      <c r="AE7" s="38">
        <v>5</v>
      </c>
      <c r="AF7" s="38">
        <v>4</v>
      </c>
      <c r="AG7" s="38">
        <v>3</v>
      </c>
      <c r="AH7" s="38">
        <v>2</v>
      </c>
      <c r="AI7" s="38">
        <v>1</v>
      </c>
      <c r="AJ7" s="38">
        <v>0</v>
      </c>
      <c r="AK7" s="37" t="s">
        <v>37</v>
      </c>
      <c r="AL7" s="37" t="s">
        <v>38</v>
      </c>
      <c r="AM7" s="37" t="s">
        <v>39</v>
      </c>
      <c r="AN7" s="37" t="s">
        <v>40</v>
      </c>
      <c r="AO7" s="37" t="s">
        <v>41</v>
      </c>
      <c r="AP7" s="37" t="s">
        <v>42</v>
      </c>
      <c r="AQ7" s="37" t="s">
        <v>43</v>
      </c>
      <c r="AR7" s="37" t="s">
        <v>1</v>
      </c>
    </row>
    <row r="8" spans="1:44" ht="15" thickBot="1" x14ac:dyDescent="0.25"/>
    <row r="9" spans="1:44" ht="15" thickTop="1" x14ac:dyDescent="0.2">
      <c r="A9" s="42" t="s">
        <v>98</v>
      </c>
      <c r="B9" s="43">
        <v>0</v>
      </c>
      <c r="C9" s="43" t="str">
        <f>DEC2HEX(B9)</f>
        <v>0</v>
      </c>
      <c r="D9" s="49" t="s">
        <v>7</v>
      </c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5"/>
      <c r="AK9" s="22"/>
      <c r="AL9" s="22"/>
      <c r="AM9" s="22"/>
      <c r="AN9" s="22"/>
      <c r="AO9" s="22"/>
      <c r="AP9" s="22"/>
      <c r="AQ9" s="22"/>
      <c r="AR9" s="22"/>
    </row>
    <row r="10" spans="1:44" x14ac:dyDescent="0.2">
      <c r="A10" s="88" t="s">
        <v>99</v>
      </c>
      <c r="B10" s="41"/>
      <c r="C10" s="41"/>
      <c r="D10" s="50">
        <f>COUNTIF(E10:AJ10,"x")</f>
        <v>8</v>
      </c>
      <c r="E10" s="41"/>
      <c r="F10" s="41"/>
      <c r="G10" s="41"/>
      <c r="H10" s="52"/>
      <c r="I10" s="41"/>
      <c r="J10" s="41"/>
      <c r="K10" s="41"/>
      <c r="L10" s="54"/>
      <c r="M10" s="41"/>
      <c r="N10" s="41"/>
      <c r="O10" s="41"/>
      <c r="P10" s="52"/>
      <c r="Q10" s="41"/>
      <c r="R10" s="41"/>
      <c r="S10" s="41"/>
      <c r="T10" s="54"/>
      <c r="U10" s="41"/>
      <c r="V10" s="41"/>
      <c r="W10" s="41"/>
      <c r="X10" s="52"/>
      <c r="Y10" s="41"/>
      <c r="Z10" s="41"/>
      <c r="AA10" s="41"/>
      <c r="AB10" s="54"/>
      <c r="AC10" s="41" t="s">
        <v>66</v>
      </c>
      <c r="AD10" s="41" t="s">
        <v>66</v>
      </c>
      <c r="AE10" s="41" t="s">
        <v>66</v>
      </c>
      <c r="AF10" s="52" t="s">
        <v>66</v>
      </c>
      <c r="AG10" s="41" t="s">
        <v>66</v>
      </c>
      <c r="AH10" s="41" t="s">
        <v>66</v>
      </c>
      <c r="AI10" s="41" t="s">
        <v>66</v>
      </c>
      <c r="AJ10" s="46" t="s">
        <v>66</v>
      </c>
      <c r="AK10" s="40" t="s">
        <v>14</v>
      </c>
      <c r="AL10" s="55">
        <v>0</v>
      </c>
      <c r="AM10" s="55">
        <f>2^D10 - 1</f>
        <v>255</v>
      </c>
      <c r="AN10" s="55">
        <v>1</v>
      </c>
      <c r="AO10" s="55">
        <v>0</v>
      </c>
      <c r="AP10" s="55" t="s">
        <v>48</v>
      </c>
      <c r="AQ10" s="55">
        <v>0</v>
      </c>
      <c r="AR10" s="56" t="s">
        <v>100</v>
      </c>
    </row>
    <row r="11" spans="1:44" x14ac:dyDescent="0.2">
      <c r="A11" s="88" t="s">
        <v>101</v>
      </c>
      <c r="B11" s="41"/>
      <c r="C11" s="41"/>
      <c r="D11" s="50">
        <f>COUNTIF(E11:AJ11,"x")</f>
        <v>8</v>
      </c>
      <c r="E11" s="41"/>
      <c r="F11" s="41"/>
      <c r="G11" s="41"/>
      <c r="H11" s="52"/>
      <c r="I11" s="41"/>
      <c r="J11" s="41"/>
      <c r="K11" s="41"/>
      <c r="L11" s="54"/>
      <c r="M11" s="41"/>
      <c r="N11" s="41"/>
      <c r="O11" s="41"/>
      <c r="P11" s="52"/>
      <c r="Q11" s="41"/>
      <c r="R11" s="41"/>
      <c r="S11" s="41"/>
      <c r="T11" s="54"/>
      <c r="U11" s="41" t="s">
        <v>66</v>
      </c>
      <c r="V11" s="41" t="s">
        <v>66</v>
      </c>
      <c r="W11" s="41" t="s">
        <v>66</v>
      </c>
      <c r="X11" s="52" t="s">
        <v>66</v>
      </c>
      <c r="Y11" s="41" t="s">
        <v>66</v>
      </c>
      <c r="Z11" s="41" t="s">
        <v>66</v>
      </c>
      <c r="AA11" s="41" t="s">
        <v>66</v>
      </c>
      <c r="AB11" s="54" t="s">
        <v>66</v>
      </c>
      <c r="AC11" s="41"/>
      <c r="AD11" s="41"/>
      <c r="AE11" s="41"/>
      <c r="AF11" s="52"/>
      <c r="AG11" s="41"/>
      <c r="AH11" s="41"/>
      <c r="AI11" s="41"/>
      <c r="AJ11" s="46"/>
      <c r="AK11" s="40" t="s">
        <v>14</v>
      </c>
      <c r="AL11" s="55">
        <v>0</v>
      </c>
      <c r="AM11" s="55">
        <f>2^D11 - 1</f>
        <v>255</v>
      </c>
      <c r="AN11" s="55">
        <v>1</v>
      </c>
      <c r="AO11" s="55">
        <v>0</v>
      </c>
      <c r="AP11" s="55" t="s">
        <v>48</v>
      </c>
      <c r="AQ11" s="55">
        <v>0</v>
      </c>
      <c r="AR11" s="56" t="s">
        <v>102</v>
      </c>
    </row>
    <row r="12" spans="1:44" x14ac:dyDescent="0.2">
      <c r="A12" s="88" t="s">
        <v>105</v>
      </c>
      <c r="B12" s="41"/>
      <c r="C12" s="41"/>
      <c r="D12" s="50">
        <f>COUNTIF(E12:AJ12,"x")</f>
        <v>12</v>
      </c>
      <c r="E12" s="41"/>
      <c r="F12" s="41"/>
      <c r="G12" s="41"/>
      <c r="H12" s="52"/>
      <c r="I12" s="41" t="s">
        <v>66</v>
      </c>
      <c r="J12" s="41" t="s">
        <v>66</v>
      </c>
      <c r="K12" s="41" t="s">
        <v>66</v>
      </c>
      <c r="L12" s="54" t="s">
        <v>66</v>
      </c>
      <c r="M12" s="41" t="s">
        <v>66</v>
      </c>
      <c r="N12" s="41" t="s">
        <v>66</v>
      </c>
      <c r="O12" s="41" t="s">
        <v>66</v>
      </c>
      <c r="P12" s="52" t="s">
        <v>66</v>
      </c>
      <c r="Q12" s="41" t="s">
        <v>66</v>
      </c>
      <c r="R12" s="41" t="s">
        <v>66</v>
      </c>
      <c r="S12" s="41" t="s">
        <v>66</v>
      </c>
      <c r="T12" s="54" t="s">
        <v>66</v>
      </c>
      <c r="U12" s="41"/>
      <c r="V12" s="41"/>
      <c r="W12" s="41"/>
      <c r="X12" s="52"/>
      <c r="Y12" s="41"/>
      <c r="Z12" s="41"/>
      <c r="AA12" s="41"/>
      <c r="AB12" s="54"/>
      <c r="AC12" s="41"/>
      <c r="AD12" s="41"/>
      <c r="AE12" s="41"/>
      <c r="AF12" s="52"/>
      <c r="AG12" s="41"/>
      <c r="AH12" s="41"/>
      <c r="AI12" s="41"/>
      <c r="AJ12" s="46"/>
      <c r="AK12" s="40" t="s">
        <v>14</v>
      </c>
      <c r="AL12" s="55">
        <v>0</v>
      </c>
      <c r="AM12" s="55">
        <f>2^D12 - 1</f>
        <v>4095</v>
      </c>
      <c r="AN12" s="55">
        <v>1</v>
      </c>
      <c r="AO12" s="55">
        <v>0</v>
      </c>
      <c r="AP12" s="55" t="s">
        <v>48</v>
      </c>
      <c r="AQ12" s="55">
        <v>0</v>
      </c>
      <c r="AR12" s="56" t="s">
        <v>102</v>
      </c>
    </row>
    <row r="13" spans="1:44" ht="15" thickBot="1" x14ac:dyDescent="0.25">
      <c r="A13" s="89" t="s">
        <v>104</v>
      </c>
      <c r="B13" s="47"/>
      <c r="C13" s="47"/>
      <c r="D13" s="51">
        <f>COUNTIF(E13:AJ13,"x")</f>
        <v>4</v>
      </c>
      <c r="E13" s="47" t="s">
        <v>66</v>
      </c>
      <c r="F13" s="47" t="s">
        <v>66</v>
      </c>
      <c r="G13" s="47" t="s">
        <v>66</v>
      </c>
      <c r="H13" s="53" t="s">
        <v>66</v>
      </c>
      <c r="I13" s="47"/>
      <c r="J13" s="47"/>
      <c r="K13" s="47"/>
      <c r="L13" s="57"/>
      <c r="M13" s="47"/>
      <c r="N13" s="47"/>
      <c r="O13" s="47"/>
      <c r="P13" s="53"/>
      <c r="Q13" s="47"/>
      <c r="R13" s="47"/>
      <c r="S13" s="47"/>
      <c r="T13" s="57"/>
      <c r="U13" s="47"/>
      <c r="V13" s="47"/>
      <c r="W13" s="47"/>
      <c r="X13" s="53"/>
      <c r="Y13" s="47"/>
      <c r="Z13" s="47"/>
      <c r="AA13" s="47"/>
      <c r="AB13" s="57"/>
      <c r="AC13" s="47"/>
      <c r="AD13" s="47"/>
      <c r="AE13" s="47"/>
      <c r="AF13" s="53"/>
      <c r="AG13" s="47"/>
      <c r="AH13" s="47"/>
      <c r="AI13" s="47"/>
      <c r="AJ13" s="48"/>
      <c r="AK13" s="40" t="s">
        <v>14</v>
      </c>
      <c r="AL13" s="55">
        <v>0</v>
      </c>
      <c r="AM13" s="55">
        <f>2^D13 - 1</f>
        <v>15</v>
      </c>
      <c r="AN13" s="55">
        <v>1</v>
      </c>
      <c r="AO13" s="55">
        <v>0</v>
      </c>
      <c r="AP13" s="55" t="s">
        <v>48</v>
      </c>
      <c r="AQ13" s="55">
        <v>0</v>
      </c>
      <c r="AR13" s="56" t="s">
        <v>103</v>
      </c>
    </row>
    <row r="14" spans="1:44" ht="15.75" thickTop="1" thickBot="1" x14ac:dyDescent="0.25"/>
    <row r="15" spans="1:44" ht="15" thickTop="1" x14ac:dyDescent="0.2">
      <c r="A15" s="42" t="s">
        <v>85</v>
      </c>
      <c r="B15" s="43">
        <v>4</v>
      </c>
      <c r="C15" s="43" t="str">
        <f>DEC2HEX(B15)</f>
        <v>4</v>
      </c>
      <c r="D15" s="49" t="s">
        <v>6</v>
      </c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5"/>
      <c r="AK15" s="22"/>
      <c r="AL15" s="22"/>
      <c r="AM15" s="22"/>
      <c r="AN15" s="22"/>
      <c r="AO15" s="22"/>
      <c r="AP15" s="22"/>
      <c r="AQ15" s="22"/>
      <c r="AR15" s="22"/>
    </row>
    <row r="16" spans="1:44" ht="15" thickBot="1" x14ac:dyDescent="0.25">
      <c r="A16" s="89" t="s">
        <v>84</v>
      </c>
      <c r="B16" s="47"/>
      <c r="C16" s="47"/>
      <c r="D16" s="51">
        <f>COUNTIF(E16:AJ16,"x")</f>
        <v>32</v>
      </c>
      <c r="E16" s="47" t="s">
        <v>66</v>
      </c>
      <c r="F16" s="47" t="s">
        <v>66</v>
      </c>
      <c r="G16" s="47" t="s">
        <v>66</v>
      </c>
      <c r="H16" s="53" t="s">
        <v>66</v>
      </c>
      <c r="I16" s="47" t="s">
        <v>66</v>
      </c>
      <c r="J16" s="47" t="s">
        <v>66</v>
      </c>
      <c r="K16" s="47" t="s">
        <v>66</v>
      </c>
      <c r="L16" s="57" t="s">
        <v>66</v>
      </c>
      <c r="M16" s="47" t="s">
        <v>66</v>
      </c>
      <c r="N16" s="47" t="s">
        <v>66</v>
      </c>
      <c r="O16" s="47" t="s">
        <v>66</v>
      </c>
      <c r="P16" s="53" t="s">
        <v>66</v>
      </c>
      <c r="Q16" s="47" t="s">
        <v>66</v>
      </c>
      <c r="R16" s="47" t="s">
        <v>66</v>
      </c>
      <c r="S16" s="47" t="s">
        <v>66</v>
      </c>
      <c r="T16" s="57" t="s">
        <v>66</v>
      </c>
      <c r="U16" s="47" t="s">
        <v>66</v>
      </c>
      <c r="V16" s="47" t="s">
        <v>66</v>
      </c>
      <c r="W16" s="47" t="s">
        <v>66</v>
      </c>
      <c r="X16" s="53" t="s">
        <v>66</v>
      </c>
      <c r="Y16" s="47" t="s">
        <v>66</v>
      </c>
      <c r="Z16" s="47" t="s">
        <v>66</v>
      </c>
      <c r="AA16" s="47" t="s">
        <v>66</v>
      </c>
      <c r="AB16" s="57" t="s">
        <v>66</v>
      </c>
      <c r="AC16" s="47" t="s">
        <v>66</v>
      </c>
      <c r="AD16" s="47" t="s">
        <v>66</v>
      </c>
      <c r="AE16" s="47" t="s">
        <v>66</v>
      </c>
      <c r="AF16" s="53" t="s">
        <v>66</v>
      </c>
      <c r="AG16" s="47" t="s">
        <v>66</v>
      </c>
      <c r="AH16" s="47" t="s">
        <v>66</v>
      </c>
      <c r="AI16" s="47" t="s">
        <v>66</v>
      </c>
      <c r="AJ16" s="48" t="s">
        <v>66</v>
      </c>
      <c r="AK16" s="40" t="s">
        <v>14</v>
      </c>
      <c r="AL16" s="55">
        <v>0</v>
      </c>
      <c r="AM16" s="55">
        <f>2^D16 - 1</f>
        <v>4294967295</v>
      </c>
      <c r="AN16" s="55">
        <v>1</v>
      </c>
      <c r="AO16" s="55">
        <v>0</v>
      </c>
      <c r="AP16" s="55" t="s">
        <v>48</v>
      </c>
      <c r="AQ16" s="55">
        <v>0</v>
      </c>
      <c r="AR16" s="56" t="s">
        <v>91</v>
      </c>
    </row>
    <row r="17" spans="1:44" ht="15.75" thickTop="1" thickBot="1" x14ac:dyDescent="0.25"/>
    <row r="18" spans="1:44" ht="15" thickTop="1" x14ac:dyDescent="0.2">
      <c r="A18" s="42" t="s">
        <v>86</v>
      </c>
      <c r="B18" s="43">
        <v>8</v>
      </c>
      <c r="C18" s="43" t="str">
        <f>DEC2HEX(B18)</f>
        <v>8</v>
      </c>
      <c r="D18" s="49" t="s">
        <v>6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5"/>
      <c r="AK18" s="22"/>
      <c r="AL18" s="22"/>
      <c r="AM18" s="22"/>
      <c r="AN18" s="22"/>
      <c r="AO18" s="22"/>
      <c r="AP18" s="22"/>
      <c r="AQ18" s="22"/>
      <c r="AR18" s="22"/>
    </row>
    <row r="19" spans="1:44" ht="15" thickBot="1" x14ac:dyDescent="0.25">
      <c r="A19" s="89" t="s">
        <v>94</v>
      </c>
      <c r="B19" s="47"/>
      <c r="C19" s="47"/>
      <c r="D19" s="51">
        <f>COUNTIF(E19:AJ19,"x")</f>
        <v>16</v>
      </c>
      <c r="E19" s="47"/>
      <c r="F19" s="47"/>
      <c r="G19" s="47"/>
      <c r="H19" s="53"/>
      <c r="I19" s="47"/>
      <c r="J19" s="47"/>
      <c r="K19" s="47"/>
      <c r="L19" s="57"/>
      <c r="M19" s="47"/>
      <c r="N19" s="47"/>
      <c r="O19" s="47"/>
      <c r="P19" s="53"/>
      <c r="Q19" s="47"/>
      <c r="R19" s="47"/>
      <c r="S19" s="47"/>
      <c r="T19" s="57"/>
      <c r="U19" s="47" t="s">
        <v>66</v>
      </c>
      <c r="V19" s="47" t="s">
        <v>66</v>
      </c>
      <c r="W19" s="47" t="s">
        <v>66</v>
      </c>
      <c r="X19" s="53" t="s">
        <v>66</v>
      </c>
      <c r="Y19" s="47" t="s">
        <v>66</v>
      </c>
      <c r="Z19" s="47" t="s">
        <v>66</v>
      </c>
      <c r="AA19" s="47" t="s">
        <v>66</v>
      </c>
      <c r="AB19" s="57" t="s">
        <v>66</v>
      </c>
      <c r="AC19" s="47" t="s">
        <v>66</v>
      </c>
      <c r="AD19" s="47" t="s">
        <v>66</v>
      </c>
      <c r="AE19" s="47" t="s">
        <v>66</v>
      </c>
      <c r="AF19" s="53" t="s">
        <v>66</v>
      </c>
      <c r="AG19" s="47" t="s">
        <v>66</v>
      </c>
      <c r="AH19" s="47" t="s">
        <v>66</v>
      </c>
      <c r="AI19" s="47" t="s">
        <v>66</v>
      </c>
      <c r="AJ19" s="48" t="s">
        <v>66</v>
      </c>
      <c r="AK19" s="40" t="s">
        <v>14</v>
      </c>
      <c r="AL19" s="55">
        <v>0</v>
      </c>
      <c r="AM19" s="55">
        <f>2^D19 - 1</f>
        <v>65535</v>
      </c>
      <c r="AN19" s="55">
        <v>1</v>
      </c>
      <c r="AO19" s="55">
        <v>0</v>
      </c>
      <c r="AP19" s="55" t="s">
        <v>48</v>
      </c>
      <c r="AQ19" s="55">
        <v>0</v>
      </c>
      <c r="AR19" s="56" t="s">
        <v>90</v>
      </c>
    </row>
    <row r="20" spans="1:44" ht="15.75" thickTop="1" thickBot="1" x14ac:dyDescent="0.25"/>
    <row r="21" spans="1:44" ht="15" thickTop="1" x14ac:dyDescent="0.2">
      <c r="A21" s="42" t="s">
        <v>87</v>
      </c>
      <c r="B21" s="43">
        <v>12</v>
      </c>
      <c r="C21" s="43" t="str">
        <f>DEC2HEX(B21)</f>
        <v>C</v>
      </c>
      <c r="D21" s="49" t="s">
        <v>6</v>
      </c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5"/>
      <c r="AK21" s="22"/>
      <c r="AL21" s="22"/>
      <c r="AM21" s="22"/>
      <c r="AN21" s="22"/>
      <c r="AO21" s="22"/>
      <c r="AP21" s="22"/>
      <c r="AQ21" s="22"/>
      <c r="AR21" s="22"/>
    </row>
    <row r="22" spans="1:44" ht="15" thickBot="1" x14ac:dyDescent="0.25">
      <c r="A22" s="89" t="s">
        <v>92</v>
      </c>
      <c r="B22" s="47"/>
      <c r="C22" s="47"/>
      <c r="D22" s="51">
        <f>COUNTIF(E22:AJ22,"x")</f>
        <v>32</v>
      </c>
      <c r="E22" s="47" t="s">
        <v>66</v>
      </c>
      <c r="F22" s="47" t="s">
        <v>66</v>
      </c>
      <c r="G22" s="47" t="s">
        <v>66</v>
      </c>
      <c r="H22" s="53" t="s">
        <v>66</v>
      </c>
      <c r="I22" s="47" t="s">
        <v>66</v>
      </c>
      <c r="J22" s="47" t="s">
        <v>66</v>
      </c>
      <c r="K22" s="47" t="s">
        <v>66</v>
      </c>
      <c r="L22" s="57" t="s">
        <v>66</v>
      </c>
      <c r="M22" s="47" t="s">
        <v>66</v>
      </c>
      <c r="N22" s="47" t="s">
        <v>66</v>
      </c>
      <c r="O22" s="47" t="s">
        <v>66</v>
      </c>
      <c r="P22" s="53" t="s">
        <v>66</v>
      </c>
      <c r="Q22" s="47" t="s">
        <v>66</v>
      </c>
      <c r="R22" s="47" t="s">
        <v>66</v>
      </c>
      <c r="S22" s="47" t="s">
        <v>66</v>
      </c>
      <c r="T22" s="57" t="s">
        <v>66</v>
      </c>
      <c r="U22" s="47" t="s">
        <v>66</v>
      </c>
      <c r="V22" s="47" t="s">
        <v>66</v>
      </c>
      <c r="W22" s="47" t="s">
        <v>66</v>
      </c>
      <c r="X22" s="53" t="s">
        <v>66</v>
      </c>
      <c r="Y22" s="47" t="s">
        <v>66</v>
      </c>
      <c r="Z22" s="47" t="s">
        <v>66</v>
      </c>
      <c r="AA22" s="47" t="s">
        <v>66</v>
      </c>
      <c r="AB22" s="57" t="s">
        <v>66</v>
      </c>
      <c r="AC22" s="47" t="s">
        <v>66</v>
      </c>
      <c r="AD22" s="47" t="s">
        <v>66</v>
      </c>
      <c r="AE22" s="47" t="s">
        <v>66</v>
      </c>
      <c r="AF22" s="53" t="s">
        <v>66</v>
      </c>
      <c r="AG22" s="47" t="s">
        <v>66</v>
      </c>
      <c r="AH22" s="47" t="s">
        <v>66</v>
      </c>
      <c r="AI22" s="47" t="s">
        <v>66</v>
      </c>
      <c r="AJ22" s="48" t="s">
        <v>66</v>
      </c>
      <c r="AK22" s="40" t="s">
        <v>14</v>
      </c>
      <c r="AL22" s="55">
        <v>0</v>
      </c>
      <c r="AM22" s="55">
        <f>2^D22 - 1</f>
        <v>4294967295</v>
      </c>
      <c r="AN22" s="55">
        <v>1</v>
      </c>
      <c r="AO22" s="55">
        <v>0</v>
      </c>
      <c r="AP22" s="55" t="s">
        <v>48</v>
      </c>
      <c r="AQ22" s="55">
        <v>0</v>
      </c>
      <c r="AR22" s="56" t="s">
        <v>93</v>
      </c>
    </row>
    <row r="23" spans="1:44" ht="15.75" thickTop="1" thickBot="1" x14ac:dyDescent="0.25">
      <c r="A23" s="96"/>
    </row>
    <row r="24" spans="1:44" ht="15" thickTop="1" x14ac:dyDescent="0.2">
      <c r="A24" s="42" t="s">
        <v>88</v>
      </c>
      <c r="B24" s="43">
        <v>16</v>
      </c>
      <c r="C24" s="43" t="str">
        <f>DEC2HEX(B24)</f>
        <v>10</v>
      </c>
      <c r="D24" s="49" t="s">
        <v>6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5"/>
      <c r="AK24" s="22"/>
      <c r="AL24" s="22"/>
      <c r="AM24" s="22"/>
      <c r="AN24" s="22"/>
      <c r="AO24" s="22"/>
      <c r="AP24" s="22"/>
      <c r="AQ24" s="22"/>
      <c r="AR24" s="22"/>
    </row>
    <row r="25" spans="1:44" ht="15" thickBot="1" x14ac:dyDescent="0.25">
      <c r="A25" s="89" t="s">
        <v>89</v>
      </c>
      <c r="B25" s="47"/>
      <c r="C25" s="47"/>
      <c r="D25" s="51">
        <f>COUNTIF(E25:AJ25,"x")</f>
        <v>16</v>
      </c>
      <c r="E25" s="47"/>
      <c r="F25" s="47"/>
      <c r="G25" s="47"/>
      <c r="H25" s="53"/>
      <c r="I25" s="47"/>
      <c r="J25" s="47"/>
      <c r="K25" s="47"/>
      <c r="L25" s="57"/>
      <c r="M25" s="47"/>
      <c r="N25" s="47"/>
      <c r="O25" s="47"/>
      <c r="P25" s="53"/>
      <c r="Q25" s="47"/>
      <c r="R25" s="47"/>
      <c r="S25" s="47"/>
      <c r="T25" s="57"/>
      <c r="U25" s="47" t="s">
        <v>66</v>
      </c>
      <c r="V25" s="47" t="s">
        <v>66</v>
      </c>
      <c r="W25" s="47" t="s">
        <v>66</v>
      </c>
      <c r="X25" s="53" t="s">
        <v>66</v>
      </c>
      <c r="Y25" s="47" t="s">
        <v>66</v>
      </c>
      <c r="Z25" s="47" t="s">
        <v>66</v>
      </c>
      <c r="AA25" s="47" t="s">
        <v>66</v>
      </c>
      <c r="AB25" s="57" t="s">
        <v>66</v>
      </c>
      <c r="AC25" s="47" t="s">
        <v>66</v>
      </c>
      <c r="AD25" s="47" t="s">
        <v>66</v>
      </c>
      <c r="AE25" s="47" t="s">
        <v>66</v>
      </c>
      <c r="AF25" s="53" t="s">
        <v>66</v>
      </c>
      <c r="AG25" s="47" t="s">
        <v>66</v>
      </c>
      <c r="AH25" s="47" t="s">
        <v>66</v>
      </c>
      <c r="AI25" s="47" t="s">
        <v>66</v>
      </c>
      <c r="AJ25" s="48" t="s">
        <v>66</v>
      </c>
      <c r="AK25" s="40" t="s">
        <v>14</v>
      </c>
      <c r="AL25" s="55">
        <v>0</v>
      </c>
      <c r="AM25" s="55">
        <f>2^D25 - 1</f>
        <v>65535</v>
      </c>
      <c r="AN25" s="55">
        <v>1</v>
      </c>
      <c r="AO25" s="55">
        <v>0</v>
      </c>
      <c r="AP25" s="55" t="s">
        <v>48</v>
      </c>
      <c r="AQ25" s="55">
        <v>0</v>
      </c>
      <c r="AR25" s="56" t="s">
        <v>90</v>
      </c>
    </row>
    <row r="26" spans="1:44" ht="15" thickTop="1" x14ac:dyDescent="0.2"/>
  </sheetData>
  <mergeCells count="8">
    <mergeCell ref="A2:B2"/>
    <mergeCell ref="A5:B5"/>
    <mergeCell ref="E2:AR2"/>
    <mergeCell ref="E3:L3"/>
    <mergeCell ref="E4:L4"/>
    <mergeCell ref="M3:AB3"/>
    <mergeCell ref="M4:AB4"/>
    <mergeCell ref="AC3:AR4"/>
  </mergeCells>
  <conditionalFormatting sqref="A15:AJ16">
    <cfRule type="cellIs" dxfId="6" priority="12" stopIfTrue="1" operator="equal">
      <formula>"x"</formula>
    </cfRule>
  </conditionalFormatting>
  <conditionalFormatting sqref="A18:AJ19 A21:AJ21 A23 A22:D22">
    <cfRule type="cellIs" dxfId="5" priority="13" stopIfTrue="1" operator="equal">
      <formula>"x"</formula>
    </cfRule>
    <cfRule type="cellIs" priority="14" stopIfTrue="1" operator="equal">
      <formula>"x"</formula>
    </cfRule>
  </conditionalFormatting>
  <conditionalFormatting sqref="A24:AJ24 A25:D25">
    <cfRule type="cellIs" dxfId="4" priority="10" stopIfTrue="1" operator="equal">
      <formula>"x"</formula>
    </cfRule>
    <cfRule type="cellIs" priority="11" stopIfTrue="1" operator="equal">
      <formula>"x"</formula>
    </cfRule>
  </conditionalFormatting>
  <conditionalFormatting sqref="E25:AJ25">
    <cfRule type="cellIs" dxfId="3" priority="8" stopIfTrue="1" operator="equal">
      <formula>"x"</formula>
    </cfRule>
    <cfRule type="cellIs" priority="9" stopIfTrue="1" operator="equal">
      <formula>"x"</formula>
    </cfRule>
  </conditionalFormatting>
  <conditionalFormatting sqref="E22:AJ22">
    <cfRule type="cellIs" dxfId="2" priority="7" stopIfTrue="1" operator="equal">
      <formula>"x"</formula>
    </cfRule>
  </conditionalFormatting>
  <conditionalFormatting sqref="A9:AJ11 A13:AJ13">
    <cfRule type="cellIs" dxfId="1" priority="4" stopIfTrue="1" operator="equal">
      <formula>"x"</formula>
    </cfRule>
    <cfRule type="cellIs" priority="5" stopIfTrue="1" operator="equal">
      <formula>"x"</formula>
    </cfRule>
    <cfRule type="cellIs" priority="6" stopIfTrue="1" operator="equal">
      <formula>"x"</formula>
    </cfRule>
  </conditionalFormatting>
  <conditionalFormatting sqref="A12:AJ12">
    <cfRule type="cellIs" dxfId="0" priority="1" stopIfTrue="1" operator="equal">
      <formula>"x"</formula>
    </cfRule>
    <cfRule type="cellIs" priority="2" stopIfTrue="1" operator="equal">
      <formula>"x"</formula>
    </cfRule>
    <cfRule type="cellIs" priority="3" stopIfTrue="1" operator="equal">
      <formula>"x"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Add">
              <controlPr defaultSize="0" print="0" autoFill="0" autoPict="0" macro="[0]!addRegister">
                <anchor moveWithCells="1" sizeWithCells="1">
                  <from>
                    <xdr:col>29</xdr:col>
                    <xdr:colOff>85725</xdr:colOff>
                    <xdr:row>2</xdr:row>
                    <xdr:rowOff>47625</xdr:rowOff>
                  </from>
                  <to>
                    <xdr:col>38</xdr:col>
                    <xdr:colOff>200025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AddIrqReg">
              <controlPr defaultSize="0" print="0" autoFill="0" autoPict="0" macro="[0]!addIrqRegisters">
                <anchor moveWithCells="1" sizeWithCells="1">
                  <from>
                    <xdr:col>38</xdr:col>
                    <xdr:colOff>704850</xdr:colOff>
                    <xdr:row>2</xdr:row>
                    <xdr:rowOff>47625</xdr:rowOff>
                  </from>
                  <to>
                    <xdr:col>42</xdr:col>
                    <xdr:colOff>257175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Remove">
              <controlPr defaultSize="0" print="0" autoFill="0" autoPict="0" macro="[0]!removeRegister">
                <anchor moveWithCells="1" sizeWithCells="1">
                  <from>
                    <xdr:col>42</xdr:col>
                    <xdr:colOff>762000</xdr:colOff>
                    <xdr:row>2</xdr:row>
                    <xdr:rowOff>47625</xdr:rowOff>
                  </from>
                  <to>
                    <xdr:col>43</xdr:col>
                    <xdr:colOff>2286000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UpdateAddr">
              <controlPr defaultSize="0" print="0" autoFill="0" autoPict="0" macro="[0]!updateAddress">
                <anchor moveWithCells="1" sizeWithCells="1">
                  <from>
                    <xdr:col>43</xdr:col>
                    <xdr:colOff>2790825</xdr:colOff>
                    <xdr:row>2</xdr:row>
                    <xdr:rowOff>47625</xdr:rowOff>
                  </from>
                  <to>
                    <xdr:col>43</xdr:col>
                    <xdr:colOff>5124450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Collapse">
              <controlPr defaultSize="0" autoFill="0" autoLine="0" autoPict="0" macro="[0]!collapseRegisterList">
                <anchor moveWithCells="1">
                  <from>
                    <xdr:col>0</xdr:col>
                    <xdr:colOff>38100</xdr:colOff>
                    <xdr:row>4</xdr:row>
                    <xdr:rowOff>57150</xdr:rowOff>
                  </from>
                  <to>
                    <xdr:col>0</xdr:col>
                    <xdr:colOff>3438525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Summary!$L$8:$L$11</xm:f>
          </x14:formula1>
          <xm:sqref>D15 D18 D21 D24</xm:sqref>
        </x14:dataValidation>
        <x14:dataValidation type="list" allowBlank="1" showInputMessage="1" showErrorMessage="1">
          <x14:formula1>
            <xm:f>Summary!$M$8:$M$13</xm:f>
          </x14:formula1>
          <xm:sqref>AK16 AK19 AK22 AK25</xm:sqref>
        </x14:dataValidation>
        <x14:dataValidation type="list" allowBlank="1" showInputMessage="1" showErrorMessage="1">
          <x14:formula1>
            <xm:f>[uoe_registers.xlsm]Summary!#REF!</xm:f>
          </x14:formula1>
          <xm:sqref>D9 AK10:AK13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15</vt:i4>
      </vt:variant>
    </vt:vector>
  </HeadingPairs>
  <TitlesOfParts>
    <vt:vector size="18" baseType="lpstr">
      <vt:lpstr>Summary</vt:lpstr>
      <vt:lpstr>Enums</vt:lpstr>
      <vt:lpstr>Main</vt:lpstr>
      <vt:lpstr>Main_AddressWidth</vt:lpstr>
      <vt:lpstr>Main_CollapseRegCheckBox</vt:lpstr>
      <vt:lpstr>Main_DataWidth</vt:lpstr>
      <vt:lpstr>Main_NbFields</vt:lpstr>
      <vt:lpstr>Main_RegButtons</vt:lpstr>
      <vt:lpstr>Main_RegName</vt:lpstr>
      <vt:lpstr>NewAddressWidth</vt:lpstr>
      <vt:lpstr>NewBaseAddress</vt:lpstr>
      <vt:lpstr>NewDataWidth</vt:lpstr>
      <vt:lpstr>NewEnumName</vt:lpstr>
      <vt:lpstr>NewEnumNumber</vt:lpstr>
      <vt:lpstr>NewTabName</vt:lpstr>
      <vt:lpstr>SingleMultipleOutput</vt:lpstr>
      <vt:lpstr>VhdlActiveReset</vt:lpstr>
      <vt:lpstr>VhdlAsyncReset</vt:lpstr>
    </vt:vector>
  </TitlesOfParts>
  <Company>Thales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CHIRON Mathias</dc:creator>
  <cp:lastModifiedBy>Mathias CHIRON</cp:lastModifiedBy>
  <dcterms:created xsi:type="dcterms:W3CDTF">2020-09-03T19:22:04Z</dcterms:created>
  <dcterms:modified xsi:type="dcterms:W3CDTF">2022-10-05T07:03:02Z</dcterms:modified>
</cp:coreProperties>
</file>