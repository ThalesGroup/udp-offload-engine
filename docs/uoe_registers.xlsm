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1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32bbecd074f1f65/Bureau/Etudes/Semestre_9/Projets_Techniques/"/>
    </mc:Choice>
  </mc:AlternateContent>
  <xr:revisionPtr revIDLastSave="29" documentId="11_DD4198C21161C4E8E24D37511CDF0688463E9EB8" xr6:coauthVersionLast="47" xr6:coauthVersionMax="47" xr10:uidLastSave="{3FBE73B5-9238-4698-A149-181EB7735AA1}"/>
  <bookViews>
    <workbookView xWindow="-108" yWindow="-108" windowWidth="23256" windowHeight="12456" firstSheet="2" activeTab="2" xr2:uid="{00000000-000D-0000-FFFF-FFFF00000000}"/>
  </bookViews>
  <sheets>
    <sheet name="Summary" sheetId="1" r:id="rId1"/>
    <sheet name="Enums" sheetId="43" r:id="rId2"/>
    <sheet name="Main" sheetId="50" r:id="rId3"/>
    <sheet name="Test" sheetId="51" r:id="rId4"/>
  </sheets>
  <definedNames>
    <definedName name="AddressWidth">#REF!</definedName>
    <definedName name="Blabla_AddressWidth">#REF!</definedName>
    <definedName name="Blabla_CollapseRegCheckBox">#REF!</definedName>
    <definedName name="Blabla_DataWidth">#REF!</definedName>
    <definedName name="Blabla_NbFields">#REF!</definedName>
    <definedName name="Blabla_RegButtons">#REF!</definedName>
    <definedName name="Blabla_RegName">#REF!</definedName>
    <definedName name="DataWidth">#REF!</definedName>
    <definedName name="Discrete_AddressWidth">#REF!</definedName>
    <definedName name="Discrete_CollapseRegCheckBox">#REF!</definedName>
    <definedName name="Discrete_DataWidth">#REF!</definedName>
    <definedName name="Discrete_NbFields">#REF!</definedName>
    <definedName name="Discrete_RegButtons">#REF!</definedName>
    <definedName name="Discrete_RegName">#REF!</definedName>
    <definedName name="Main_AddressWidth">Main!$B$3</definedName>
    <definedName name="Main_CollapseRegCheckBox">Main!$A$5</definedName>
    <definedName name="Main_DataWidth">Main!$B$4</definedName>
    <definedName name="Main_NbFields">Main!$M$4</definedName>
    <definedName name="Main_RegButtons">Main!$AC$3:$AR$4</definedName>
    <definedName name="Main_RegName">Main!$M$3</definedName>
    <definedName name="NbFields">#REF!</definedName>
    <definedName name="NewAddressWidth">Summary!$C$9</definedName>
    <definedName name="NewBaseAddress">Summary!$C$11</definedName>
    <definedName name="NewDataWidth">Summary!$C$10</definedName>
    <definedName name="NewEnumName">Enums!$E$3</definedName>
    <definedName name="NewEnumNumber">Enums!$E$4</definedName>
    <definedName name="NewTabName">Summary!$C$8</definedName>
    <definedName name="RegName">#REF!</definedName>
    <definedName name="SingleMultipleOutput">Summary!$C$19</definedName>
    <definedName name="Tab1_AddressWidth">#REF!</definedName>
    <definedName name="Tab1_DataWidth">#REF!</definedName>
    <definedName name="Tab1_NbFields">#REF!</definedName>
    <definedName name="Tab1_RegButtons">#REF!</definedName>
    <definedName name="Tab1_RegName">#REF!</definedName>
    <definedName name="Tab2_AddressWidth">#REF!</definedName>
    <definedName name="Tab2_DataWidth">#REF!</definedName>
    <definedName name="Tab2_NbFields">#REF!</definedName>
    <definedName name="Tab2_RegButtons">#REF!</definedName>
    <definedName name="Tab2_RegName">#REF!</definedName>
    <definedName name="Tata_AddressWidth">#REF!</definedName>
    <definedName name="Tata_DataWidth">#REF!</definedName>
    <definedName name="Tata_NbFields">#REF!</definedName>
    <definedName name="Tata_RegName">#REF!</definedName>
    <definedName name="Test_AddressWidth">Test!$B$3</definedName>
    <definedName name="Test_CollapseRegCheckBox">Test!$A$5</definedName>
    <definedName name="Test_DataWidth">Test!$B$4</definedName>
    <definedName name="Test_NbFields">Test!$M$4</definedName>
    <definedName name="Test_RegButtons">Test!$AC$3:$AR$4</definedName>
    <definedName name="Test_RegName">Test!$M$3</definedName>
    <definedName name="Titi_AddressWidth">#REF!</definedName>
    <definedName name="Titi_DataWidth">#REF!</definedName>
    <definedName name="Titi_NbFields">#REF!</definedName>
    <definedName name="Titi_RegName">#REF!</definedName>
    <definedName name="Toto_AddressWidth">#REF!</definedName>
    <definedName name="Toto_DataWidth">#REF!</definedName>
    <definedName name="Toto_NbFields">#REF!</definedName>
    <definedName name="Toto_RegName">#REF!</definedName>
    <definedName name="VhdlActiveReset">Summary!$C$23</definedName>
    <definedName name="VhdlAsyncReset">Summary!$C$24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7" i="50" l="1"/>
  <c r="AM117" i="50" s="1"/>
  <c r="C116" i="50"/>
  <c r="D114" i="50"/>
  <c r="AM114" i="50" s="1"/>
  <c r="C113" i="50"/>
  <c r="D111" i="50"/>
  <c r="AM111" i="50" s="1"/>
  <c r="C110" i="50"/>
  <c r="D108" i="50"/>
  <c r="AM108" i="50" s="1"/>
  <c r="C107" i="50"/>
  <c r="D105" i="50"/>
  <c r="AM105" i="50" s="1"/>
  <c r="D104" i="50"/>
  <c r="AM104" i="50" s="1"/>
  <c r="C103" i="50"/>
  <c r="D101" i="50"/>
  <c r="AM101" i="50" s="1"/>
  <c r="C100" i="50"/>
  <c r="D98" i="50"/>
  <c r="AM98" i="50" s="1"/>
  <c r="C97" i="50"/>
  <c r="D71" i="51"/>
  <c r="AM71" i="51" s="1"/>
  <c r="D72" i="51"/>
  <c r="AM72" i="51" s="1"/>
  <c r="D73" i="51"/>
  <c r="AM73" i="51" s="1"/>
  <c r="D74" i="51"/>
  <c r="AM74" i="51" s="1"/>
  <c r="D117" i="51" l="1"/>
  <c r="AM117" i="51" s="1"/>
  <c r="C116" i="51"/>
  <c r="D114" i="51"/>
  <c r="AM114" i="51" s="1"/>
  <c r="C113" i="51"/>
  <c r="D111" i="51"/>
  <c r="AM111" i="51" s="1"/>
  <c r="C110" i="51"/>
  <c r="D108" i="51"/>
  <c r="AM108" i="51" s="1"/>
  <c r="C107" i="51"/>
  <c r="D105" i="51"/>
  <c r="AM105" i="51" s="1"/>
  <c r="C104" i="51"/>
  <c r="D102" i="51"/>
  <c r="AM102" i="51" s="1"/>
  <c r="C101" i="51"/>
  <c r="D99" i="51"/>
  <c r="AM99" i="51" s="1"/>
  <c r="C98" i="51"/>
  <c r="D78" i="51"/>
  <c r="AM78" i="51" s="1"/>
  <c r="C77" i="51"/>
  <c r="D96" i="51"/>
  <c r="AM96" i="51" s="1"/>
  <c r="C95" i="51"/>
  <c r="D93" i="51"/>
  <c r="AM93" i="51" s="1"/>
  <c r="C92" i="51"/>
  <c r="D90" i="51"/>
  <c r="AM90" i="51" s="1"/>
  <c r="C89" i="51"/>
  <c r="D87" i="51"/>
  <c r="AM87" i="51" s="1"/>
  <c r="C86" i="51"/>
  <c r="D84" i="51"/>
  <c r="AM84" i="51" s="1"/>
  <c r="C83" i="51"/>
  <c r="D81" i="51"/>
  <c r="AM81" i="51" s="1"/>
  <c r="C80" i="51"/>
  <c r="D80" i="50" l="1"/>
  <c r="AM80" i="50" s="1"/>
  <c r="C79" i="50"/>
  <c r="D77" i="50"/>
  <c r="AM77" i="50" s="1"/>
  <c r="C76" i="50"/>
  <c r="D74" i="50"/>
  <c r="AM74" i="50" s="1"/>
  <c r="C73" i="50"/>
  <c r="D59" i="51" l="1"/>
  <c r="AM59" i="51" s="1"/>
  <c r="C58" i="51"/>
  <c r="D53" i="51"/>
  <c r="AM53" i="51" s="1"/>
  <c r="D52" i="51"/>
  <c r="AM52" i="51" s="1"/>
  <c r="C51" i="51"/>
  <c r="D56" i="51"/>
  <c r="AM56" i="51" s="1"/>
  <c r="C55" i="51"/>
  <c r="D13" i="51"/>
  <c r="AM13" i="51" s="1"/>
  <c r="D14" i="51"/>
  <c r="AM14" i="51" s="1"/>
  <c r="D75" i="51"/>
  <c r="AM75" i="51" s="1"/>
  <c r="D70" i="51"/>
  <c r="AM70" i="51" s="1"/>
  <c r="D69" i="51"/>
  <c r="AM69" i="51" s="1"/>
  <c r="D68" i="51"/>
  <c r="AM68" i="51" s="1"/>
  <c r="D67" i="51"/>
  <c r="AM67" i="51" s="1"/>
  <c r="D66" i="51"/>
  <c r="AM66" i="51" s="1"/>
  <c r="C65" i="51"/>
  <c r="C64" i="51"/>
  <c r="C63" i="51"/>
  <c r="C62" i="51"/>
  <c r="D49" i="51" l="1"/>
  <c r="AM49" i="51" s="1"/>
  <c r="C48" i="51"/>
  <c r="D46" i="51"/>
  <c r="AM46" i="51" s="1"/>
  <c r="C45" i="51"/>
  <c r="D32" i="51"/>
  <c r="AM32" i="51" s="1"/>
  <c r="C31" i="51"/>
  <c r="D29" i="51"/>
  <c r="AM29" i="51" s="1"/>
  <c r="C28" i="51"/>
  <c r="D43" i="51"/>
  <c r="AM43" i="51" s="1"/>
  <c r="C42" i="51"/>
  <c r="D40" i="51"/>
  <c r="AM40" i="51" s="1"/>
  <c r="C39" i="51"/>
  <c r="D26" i="51"/>
  <c r="AM26" i="51" s="1"/>
  <c r="C25" i="51"/>
  <c r="D23" i="51"/>
  <c r="AM23" i="51" s="1"/>
  <c r="C22" i="51"/>
  <c r="D35" i="51"/>
  <c r="AM35" i="51" s="1"/>
  <c r="D37" i="51"/>
  <c r="AM37" i="51" s="1"/>
  <c r="D36" i="51"/>
  <c r="AM36" i="51" s="1"/>
  <c r="C34" i="51"/>
  <c r="D20" i="51"/>
  <c r="AM20" i="51" s="1"/>
  <c r="D18" i="51"/>
  <c r="AM18" i="51" s="1"/>
  <c r="D19" i="51"/>
  <c r="AM19" i="51" s="1"/>
  <c r="C17" i="51"/>
  <c r="D15" i="51"/>
  <c r="AM15" i="51" s="1"/>
  <c r="D12" i="51"/>
  <c r="AM12" i="51" s="1"/>
  <c r="D11" i="51"/>
  <c r="AM11" i="51" s="1"/>
  <c r="D10" i="51"/>
  <c r="AM10" i="51" s="1"/>
  <c r="C9" i="51"/>
  <c r="D71" i="50" l="1"/>
  <c r="AM71" i="50" s="1"/>
  <c r="C70" i="50"/>
  <c r="D95" i="50" l="1"/>
  <c r="AM95" i="50" s="1"/>
  <c r="D89" i="50"/>
  <c r="AM89" i="50" s="1"/>
  <c r="D88" i="50"/>
  <c r="AM88" i="50" s="1"/>
  <c r="D92" i="50"/>
  <c r="AM92" i="50" s="1"/>
  <c r="D91" i="50"/>
  <c r="AM91" i="50" s="1"/>
  <c r="D90" i="50"/>
  <c r="AM90" i="50" s="1"/>
  <c r="D94" i="50"/>
  <c r="AM94" i="50" s="1"/>
  <c r="D93" i="50"/>
  <c r="AM93" i="50" s="1"/>
  <c r="D87" i="50"/>
  <c r="AM87" i="50" s="1"/>
  <c r="C86" i="50"/>
  <c r="C85" i="50"/>
  <c r="C84" i="50"/>
  <c r="C83" i="50"/>
  <c r="D68" i="50"/>
  <c r="AM68" i="50" s="1"/>
  <c r="C67" i="50"/>
  <c r="D65" i="50"/>
  <c r="AM65" i="50" s="1"/>
  <c r="C64" i="50"/>
  <c r="D62" i="50"/>
  <c r="AM62" i="50" s="1"/>
  <c r="C61" i="50"/>
  <c r="D58" i="50"/>
  <c r="AM58" i="50" s="1"/>
  <c r="D59" i="50"/>
  <c r="AM59" i="50" s="1"/>
  <c r="D57" i="50"/>
  <c r="AM57" i="50" s="1"/>
  <c r="D56" i="50"/>
  <c r="AM56" i="50" s="1"/>
  <c r="D55" i="50"/>
  <c r="AM55" i="50" s="1"/>
  <c r="D54" i="50"/>
  <c r="AM54" i="50" s="1"/>
  <c r="C53" i="50"/>
  <c r="D51" i="50"/>
  <c r="AM51" i="50" s="1"/>
  <c r="D50" i="50"/>
  <c r="AM50" i="50" s="1"/>
  <c r="C49" i="50"/>
  <c r="D47" i="50"/>
  <c r="AM47" i="50" s="1"/>
  <c r="D46" i="50"/>
  <c r="AM46" i="50" s="1"/>
  <c r="C45" i="50"/>
  <c r="D43" i="50"/>
  <c r="AM43" i="50" s="1"/>
  <c r="D42" i="50"/>
  <c r="AM42" i="50" s="1"/>
  <c r="C41" i="50"/>
  <c r="D39" i="50"/>
  <c r="AM39" i="50" s="1"/>
  <c r="D38" i="50"/>
  <c r="AM38" i="50" s="1"/>
  <c r="C37" i="50"/>
  <c r="D35" i="50"/>
  <c r="AM35" i="50" s="1"/>
  <c r="D34" i="50"/>
  <c r="AM34" i="50" s="1"/>
  <c r="D33" i="50"/>
  <c r="AM33" i="50" s="1"/>
  <c r="C32" i="50"/>
  <c r="D30" i="50"/>
  <c r="AM30" i="50" s="1"/>
  <c r="C29" i="50"/>
  <c r="D27" i="50"/>
  <c r="AM27" i="50" s="1"/>
  <c r="C26" i="50"/>
  <c r="D24" i="50"/>
  <c r="AM24" i="50" s="1"/>
  <c r="C23" i="50"/>
  <c r="D21" i="50"/>
  <c r="AM21" i="50" s="1"/>
  <c r="C20" i="50"/>
  <c r="D18" i="50"/>
  <c r="AM18" i="50" s="1"/>
  <c r="C17" i="50"/>
  <c r="D15" i="50"/>
  <c r="AM15" i="50" s="1"/>
  <c r="C14" i="50"/>
  <c r="D12" i="50"/>
  <c r="AM12" i="50" s="1"/>
  <c r="D11" i="50"/>
  <c r="AM11" i="50" s="1"/>
  <c r="D10" i="50"/>
  <c r="AM10" i="50" s="1"/>
  <c r="C9" i="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CHIRON</author>
  </authors>
  <commentList>
    <comment ref="C8" authorId="0" shapeId="0" xr:uid="{00000000-0006-0000-0000-000001000000}">
      <text>
        <r>
          <rPr>
            <sz val="9"/>
            <color indexed="81"/>
            <rFont val="Tahoma"/>
            <family val="2"/>
          </rPr>
          <t>Registers Table Name</t>
        </r>
      </text>
    </comment>
    <comment ref="C9" authorId="0" shapeId="0" xr:uid="{00000000-0006-0000-0000-000002000000}">
      <text>
        <r>
          <rPr>
            <sz val="9"/>
            <color indexed="81"/>
            <rFont val="Tahoma"/>
            <family val="2"/>
          </rPr>
          <t>Should correspond to the required address width of the slave</t>
        </r>
      </text>
    </comment>
    <comment ref="C10" authorId="0" shapeId="0" xr:uid="{00000000-0006-0000-0000-000003000000}">
      <text>
        <r>
          <rPr>
            <sz val="9"/>
            <color indexed="81"/>
            <rFont val="Tahoma"/>
            <family val="2"/>
          </rPr>
          <t>Authorized bus width : 8, 16 or 32 bits</t>
        </r>
      </text>
    </comment>
    <comment ref="C11" authorId="0" shapeId="0" xr:uid="{00000000-0006-0000-0000-000004000000}">
      <text>
        <r>
          <rPr>
            <sz val="9"/>
            <color indexed="81"/>
            <rFont val="Tahoma"/>
            <family val="2"/>
          </rPr>
          <t>Base Address to fill the Mapping table</t>
        </r>
      </text>
    </comment>
    <comment ref="C19" authorId="0" shapeId="0" xr:uid="{00000000-0006-0000-0000-000005000000}">
      <text>
        <r>
          <rPr>
            <sz val="9"/>
            <color indexed="81"/>
            <rFont val="Tahoma"/>
            <family val="2"/>
          </rPr>
          <t>SINGLE : All registers sheets are concatenate in a single output. Base adresse for each table are given by the Mapping table. The name of the output file is given by the name of the xlsm file.
MULTIPLE : All registers sheets are treated separetely. In this case, the name of the output files is given by the name of the sheet</t>
        </r>
      </text>
    </comment>
    <comment ref="C23" authorId="0" shapeId="0" xr:uid="{00000000-0006-0000-0000-000006000000}">
      <text>
        <r>
          <rPr>
            <sz val="9"/>
            <color indexed="81"/>
            <rFont val="Tahoma"/>
            <family val="2"/>
          </rPr>
          <t>State at which the reset signal is asserted (active low or active high)</t>
        </r>
      </text>
    </comment>
    <comment ref="C24" authorId="0" shapeId="0" xr:uid="{00000000-0006-0000-0000-000007000000}">
      <text>
        <r>
          <rPr>
            <sz val="9"/>
            <color indexed="81"/>
            <rFont val="Tahoma"/>
            <family val="2"/>
          </rPr>
          <t xml:space="preserve">Type of reset Used 
(synchronous or asynchronous resets)
</t>
        </r>
      </text>
    </comment>
  </commentList>
</comments>
</file>

<file path=xl/sharedStrings.xml><?xml version="1.0" encoding="utf-8"?>
<sst xmlns="http://schemas.openxmlformats.org/spreadsheetml/2006/main" count="2057" uniqueCount="322">
  <si>
    <t>MAPPING OF PROCESSING FPGA</t>
  </si>
  <si>
    <t>Compatible with GenRegisters v3.0 and newer</t>
  </si>
  <si>
    <t>Create new table</t>
  </si>
  <si>
    <t>Mapping</t>
  </si>
  <si>
    <t>Suivi des modifications</t>
  </si>
  <si>
    <t>Type Enumerate</t>
  </si>
  <si>
    <t>Global Parameters</t>
  </si>
  <si>
    <t>Tables</t>
  </si>
  <si>
    <t>Base Address</t>
  </si>
  <si>
    <t>Revision</t>
  </si>
  <si>
    <t>Date</t>
  </si>
  <si>
    <t>Description</t>
  </si>
  <si>
    <t>Register Type</t>
  </si>
  <si>
    <t>Data
Type</t>
  </si>
  <si>
    <t>Main</t>
  </si>
  <si>
    <t>0x0000</t>
  </si>
  <si>
    <t>1.0</t>
  </si>
  <si>
    <t>Création</t>
  </si>
  <si>
    <t>Name</t>
  </si>
  <si>
    <t>Test</t>
  </si>
  <si>
    <t>RW</t>
  </si>
  <si>
    <t>Integer</t>
  </si>
  <si>
    <t>Address bus width</t>
  </si>
  <si>
    <t>RO</t>
  </si>
  <si>
    <t>Real</t>
  </si>
  <si>
    <t>Data bus width</t>
  </si>
  <si>
    <t>WO</t>
  </si>
  <si>
    <t>Data</t>
  </si>
  <si>
    <t>0x0100</t>
  </si>
  <si>
    <t>RZ</t>
  </si>
  <si>
    <t>Enum</t>
  </si>
  <si>
    <t>IRQ</t>
  </si>
  <si>
    <t>Boolean</t>
  </si>
  <si>
    <t>Float</t>
  </si>
  <si>
    <t>For Python Tools</t>
  </si>
  <si>
    <t>Common Parameters</t>
  </si>
  <si>
    <t>Single/Multiple Output</t>
  </si>
  <si>
    <t>MULTIPLE</t>
  </si>
  <si>
    <t>VHDL Parameters</t>
  </si>
  <si>
    <t>Active Reset</t>
  </si>
  <si>
    <t>Async Reset</t>
  </si>
  <si>
    <t>False</t>
  </si>
  <si>
    <t>Template Infos</t>
  </si>
  <si>
    <t>Author</t>
  </si>
  <si>
    <t>Mathias CHIRON</t>
  </si>
  <si>
    <t>Purpose</t>
  </si>
  <si>
    <t>UOE registers</t>
  </si>
  <si>
    <t>Data Copyright</t>
  </si>
  <si>
    <t>Enumerates sheet</t>
  </si>
  <si>
    <t>This sheet describes all enumerates used on this workbook.</t>
  </si>
  <si>
    <t>Manage Enumerates</t>
  </si>
  <si>
    <t>Data are used to generate headers and xml output files.</t>
  </si>
  <si>
    <t>Name of Enumerate</t>
  </si>
  <si>
    <t>E_STATE</t>
  </si>
  <si>
    <t>Number of Values</t>
  </si>
  <si>
    <t>Value</t>
  </si>
  <si>
    <t>Signification</t>
  </si>
  <si>
    <t>T_BIT</t>
  </si>
  <si>
    <t>Built In Test State</t>
  </si>
  <si>
    <t>NO_BIT</t>
  </si>
  <si>
    <t>PBIT</t>
  </si>
  <si>
    <t>// Startup</t>
  </si>
  <si>
    <t>IBIT</t>
  </si>
  <si>
    <t>// On demand</t>
  </si>
  <si>
    <t>CBIT</t>
  </si>
  <si>
    <t>// Continuous tests</t>
  </si>
  <si>
    <t>Parameters</t>
  </si>
  <si>
    <t>Manage Register</t>
  </si>
  <si>
    <t>Address Bus width</t>
  </si>
  <si>
    <t>REG_DHCP_ROUTER_IP_ADDR</t>
  </si>
  <si>
    <t>Data Bus width</t>
  </si>
  <si>
    <t>Field Number</t>
  </si>
  <si>
    <t>MSB</t>
  </si>
  <si>
    <t>LSB</t>
  </si>
  <si>
    <t>Registre</t>
  </si>
  <si>
    <t>Address Dec</t>
  </si>
  <si>
    <t>Address Hex</t>
  </si>
  <si>
    <t>Size</t>
  </si>
  <si>
    <t>Type</t>
  </si>
  <si>
    <t>Range Min</t>
  </si>
  <si>
    <t>Range Max</t>
  </si>
  <si>
    <t>Step</t>
  </si>
  <si>
    <t>Offset</t>
  </si>
  <si>
    <t>Unit / Enum</t>
  </si>
  <si>
    <t>Default Value</t>
  </si>
  <si>
    <t>REG_VERSION</t>
  </si>
  <si>
    <t>VERSION</t>
  </si>
  <si>
    <t>x</t>
  </si>
  <si>
    <t>none</t>
  </si>
  <si>
    <t>Version number</t>
  </si>
  <si>
    <t>REVISION</t>
  </si>
  <si>
    <t>Revision number</t>
  </si>
  <si>
    <t>DEBUG</t>
  </si>
  <si>
    <t>Debug number</t>
  </si>
  <si>
    <t>REG_LOCAL_MAC_ADDR_LSB</t>
  </si>
  <si>
    <t>LOCAL_MAC_ADDR_LSB</t>
  </si>
  <si>
    <t>Local MAC Address LSB</t>
  </si>
  <si>
    <t>REG_LOCAL_MAC_ADDR_MSB</t>
  </si>
  <si>
    <t>LOCAL_MAC_ADDR_MSB</t>
  </si>
  <si>
    <t>Local MAC Address MSB</t>
  </si>
  <si>
    <t>REG_LOCAL_IP_ADDR</t>
  </si>
  <si>
    <t>LOCAL_IP_ADDR</t>
  </si>
  <si>
    <t>Local IP Address</t>
  </si>
  <si>
    <t>REG_RAW_DEST_MAC_ADDR_LSB</t>
  </si>
  <si>
    <t>RAW_DEST_MAC_ADDR_LSB</t>
  </si>
  <si>
    <t>Destination MAC Address use for RAW Ethernet (LSB)</t>
  </si>
  <si>
    <t>REG_RAW_DEST_MAC_ADDR_MSB</t>
  </si>
  <si>
    <t>RAW_DEST_MAC_ADDR_MSB</t>
  </si>
  <si>
    <t>Destination MAC Address use for RAW Ethernet (MSB)</t>
  </si>
  <si>
    <t>REG_IPV4_TIME_TO_LEAVE</t>
  </si>
  <si>
    <t>TTL</t>
  </si>
  <si>
    <t>Time To Leave value insert in IPV4 Header</t>
  </si>
  <si>
    <t>REG_FILTERING_CONTROL</t>
  </si>
  <si>
    <t>BROADCAST_FILTER_ENABLE</t>
  </si>
  <si>
    <t>Broadcast frames filtering enabling</t>
  </si>
  <si>
    <t>IPV4_MULTICAST_FILTER_ENABLE</t>
  </si>
  <si>
    <t>IPv4 multicast frames filtering enabling</t>
  </si>
  <si>
    <t>UNICAST_FILTER_ENABLE</t>
  </si>
  <si>
    <t>Unicast frames filtering enabling (neither IPv4 multicast nor broadcast)</t>
  </si>
  <si>
    <t>REG_IPV4_MULTICAST_IP_ADDR_1</t>
  </si>
  <si>
    <t>MULTICAST_IP_ADDR_1</t>
  </si>
  <si>
    <t>28 low significant bits of IPv4 multicast address 1 accepted if multicast filtering is enabled</t>
  </si>
  <si>
    <t>MULTICAST_IP_ADDR_1_ENABLE</t>
  </si>
  <si>
    <t>IPv4 Multicast address 1 enabling</t>
  </si>
  <si>
    <t>REG_IPV4_MULTICAST_IP_ADDR_2</t>
  </si>
  <si>
    <t>MULTICAST_IP_ADDR_2</t>
  </si>
  <si>
    <t>28 low significant bits of IPv4 multicast address 2 accepted if multicast filtering is enabled</t>
  </si>
  <si>
    <t>MULTICAST_IP_ADDR_2_ENABLE</t>
  </si>
  <si>
    <t>IPv4 Multicast address 2 enabling</t>
  </si>
  <si>
    <t>REG_IPV4_MULTICAST_IP_ADDR_3</t>
  </si>
  <si>
    <t>MULTICAST_IP_ADDR_3</t>
  </si>
  <si>
    <t>28 low significant bits of IPv4 multicast address 3 accepted if multicast filtering is enabled</t>
  </si>
  <si>
    <t>MULTICAST_IP_ADDR_3_ENABLE</t>
  </si>
  <si>
    <t>IPv4 Multicast address 3 enabling</t>
  </si>
  <si>
    <t>REG_IPV4_MULTICAST_IP_ADDR_4</t>
  </si>
  <si>
    <t>MULTICAST_IP_ADDR_4</t>
  </si>
  <si>
    <t>28 low significant bits of IPv4 multicast address 4 accepted if multicast filtering is enabled</t>
  </si>
  <si>
    <t>MULTICAST_IP_ADDR_4_ENABLE</t>
  </si>
  <si>
    <t>IPv4 Multicast address 4 enabling</t>
  </si>
  <si>
    <t>REG_ARP_CONFIGURATION</t>
  </si>
  <si>
    <t>ARP_TIMEOUT_MS</t>
  </si>
  <si>
    <t>Timeout for ARP request (milliseconds)</t>
  </si>
  <si>
    <t>ARP_TRYINGS</t>
  </si>
  <si>
    <t>X</t>
  </si>
  <si>
    <t>Number of ARP requests tryings</t>
  </si>
  <si>
    <t>ARP_GRATUITOUS_REQ</t>
  </si>
  <si>
    <t>Request sending "Gratuitous ARP"</t>
  </si>
  <si>
    <t>ARP_RX_TARGET_IP_FILTER</t>
  </si>
  <si>
    <t>Set ARP Rx Frame filter (0 : unicast, 1 : unicast + broadcast, 2 : all, 3 : none)</t>
  </si>
  <si>
    <t>ARP_RX_TEST_LOCAL_IP_CONFLICT</t>
  </si>
  <si>
    <t>Enable test "Local IP ADDR conflict"</t>
  </si>
  <si>
    <t>ARP_TABLE_CLEAR</t>
  </si>
  <si>
    <t>Clear ARP Table (Should be drive like a pulse : '0' =&gt; '1' =&gt; '0')</t>
  </si>
  <si>
    <t>REG_ARP_SW_REQ</t>
  </si>
  <si>
    <t>ARP_SW_REQ_DEST_IP_ADDR</t>
  </si>
  <si>
    <t>Destination IP Address use to generate software request ARP</t>
  </si>
  <si>
    <t>REG_CONFIG_DONE</t>
  </si>
  <si>
    <t>CONFIG_DONE</t>
  </si>
  <si>
    <t>Flag Configuration Done</t>
  </si>
  <si>
    <t>REG_MONITORING_CRC_FILTER</t>
  </si>
  <si>
    <t>CRC_FILTER_COUNTER</t>
  </si>
  <si>
    <t>Number of frames filtered because of bad CRC</t>
  </si>
  <si>
    <t>REG_MONITORING_MAC_FILTER</t>
  </si>
  <si>
    <t>MAC_FILTER_COUNTER</t>
  </si>
  <si>
    <t>Number of frames filtered following MAC configuration</t>
  </si>
  <si>
    <t>REG_MONITORING_EXT_DROP</t>
  </si>
  <si>
    <t>EXT_DROP_COUNTER</t>
  </si>
  <si>
    <t>Number of frames dropped on externe interface</t>
  </si>
  <si>
    <t>REG_MONITORING_RAW_DROP</t>
  </si>
  <si>
    <t>RAW_DROP_COUNTER</t>
  </si>
  <si>
    <t>Number of frames dropped on raw interface</t>
  </si>
  <si>
    <t>REG_MONITORING_UDP_DROP</t>
  </si>
  <si>
    <t>UDP_DROP_COUNTER</t>
  </si>
  <si>
    <t>Number of frames dropped on udp interface</t>
  </si>
  <si>
    <t>REG_INTERRUPT</t>
  </si>
  <si>
    <t>- Status</t>
  </si>
  <si>
    <t>- Enable</t>
  </si>
  <si>
    <t>- Clear</t>
  </si>
  <si>
    <t>- Set</t>
  </si>
  <si>
    <t>IRQ_INIT_DONE</t>
  </si>
  <si>
    <t>Field description</t>
  </si>
  <si>
    <t>IRQ_ARP_TABLE_CLEAR_DONE</t>
  </si>
  <si>
    <t>IRQ_ARP_IP_CONFLICT</t>
  </si>
  <si>
    <t>IRQ_ARP_MAC_CONFLICT</t>
  </si>
  <si>
    <t>IRQ_ARP_ERROR</t>
  </si>
  <si>
    <t>IRQ_ARP_RX_FIFO_OVERFLOW</t>
  </si>
  <si>
    <t>IRQ_ROUTER_DATA_RX_FIFO_OVERFLOW</t>
  </si>
  <si>
    <t>IRQ_ROUTER_CRC_RX_FIFO_OVERFLOW</t>
  </si>
  <si>
    <t>IRQ_IPV4_RX_FRAG_OFFSET_ERROR</t>
  </si>
  <si>
    <t>REG_DHCP_START</t>
  </si>
  <si>
    <t>DHCP_START</t>
  </si>
  <si>
    <t>Flag to start DHCP Configuration process</t>
  </si>
  <si>
    <t>REG_DHCP_USE_CUSTOM_IP</t>
  </si>
  <si>
    <t>DHCP_USE_CUSTOM_IP</t>
  </si>
  <si>
    <t>Flag for inserting user's IP in Discover</t>
  </si>
  <si>
    <t>REG_DHCP_STATUS</t>
  </si>
  <si>
    <t>DHCP_MODULE_STATUS(1 downto 0)</t>
  </si>
  <si>
    <t>DHCP Module Status(0 -&gt; Idle, 1 -&gt; In progress, 2 -&gt; Nack, 3 -&gt;  Successfull Configuration)</t>
  </si>
  <si>
    <t>DHCP_MODULE_STATUS(2)</t>
  </si>
  <si>
    <t>Flag for error in reception(DHCP_RX_ERROR)</t>
  </si>
  <si>
    <t>REG_DHCP_OFFERED_IP_ADDR</t>
  </si>
  <si>
    <t>DHCP_OFFERED_IP</t>
  </si>
  <si>
    <t>IP address assigned by DHCP server</t>
  </si>
  <si>
    <t>REG_DHCP_SUBNETMASK_ADDR</t>
  </si>
  <si>
    <t>DHCP_SUBNET_MASK</t>
  </si>
  <si>
    <t>Subnet mask assigned by DHCP server</t>
  </si>
  <si>
    <t>REG_DHCP_SERVER_IP_ADDR</t>
  </si>
  <si>
    <t>DHCP_SERVER_IP</t>
  </si>
  <si>
    <t>DHCP server IP</t>
  </si>
  <si>
    <t>DHCP_ROUTER_IP</t>
  </si>
  <si>
    <t>Router IP assigned by DHCP server</t>
  </si>
  <si>
    <t>REG_TX_FLOW_METER_CTRL</t>
  </si>
  <si>
    <t>REG_GEN_CHK_CONTROL</t>
  </si>
  <si>
    <t>LOOPBACK_MAC_EN</t>
  </si>
  <si>
    <t>Enable Loopback on MAC interface</t>
  </si>
  <si>
    <t>LOOPBACK_UDP_EN</t>
  </si>
  <si>
    <t>Enable Loopback on UDP interface</t>
  </si>
  <si>
    <t>GEN_START</t>
  </si>
  <si>
    <t>Start the Axis Frame Checker</t>
  </si>
  <si>
    <t>GEN_STOP</t>
  </si>
  <si>
    <t>CHK_START</t>
  </si>
  <si>
    <t>CHK_STOP</t>
  </si>
  <si>
    <t>Stop the Axis Frame Checker</t>
  </si>
  <si>
    <t>REG_GEN_CONFIG</t>
  </si>
  <si>
    <t>GEN_FRAME_SIZE_TYPE</t>
  </si>
  <si>
    <t>Frame size type : '0' =&gt; static, '1' =&gt; dynamic</t>
  </si>
  <si>
    <t>GEN_FRAME_SIZE_STATIC</t>
  </si>
  <si>
    <t>Frame size used in static mode</t>
  </si>
  <si>
    <t>GEN_RATE_LIMITATION</t>
  </si>
  <si>
    <t>Rate limitation / Example : 50% = (2^7)-1</t>
  </si>
  <si>
    <t>REG_GEN_NB_BYTES_LSB</t>
  </si>
  <si>
    <t>GEN_NB_BYTES_LSB</t>
  </si>
  <si>
    <t>Number of bytes to generate (LSB)</t>
  </si>
  <si>
    <t>REG_GEN_NB_BYTES_MSB</t>
  </si>
  <si>
    <t>GEN_NB_BYTES_MSB</t>
  </si>
  <si>
    <t>Number of bytes to generate (MSB)</t>
  </si>
  <si>
    <t>REG_GEN_TEST_DURATION_LSB</t>
  </si>
  <si>
    <t>GEN_TEST_DURATION_LSB</t>
  </si>
  <si>
    <t>Duration time to generate all data (LSB)</t>
  </si>
  <si>
    <t>REG_GEN_TEST_DURATION_MSB</t>
  </si>
  <si>
    <t>GEN_TEST_DURATION_MSB</t>
  </si>
  <si>
    <t>Duration time to generate all data (MSB)</t>
  </si>
  <si>
    <t>REG_CHK_CONFIG</t>
  </si>
  <si>
    <t>CHK_FRAME_SIZE_TYPE</t>
  </si>
  <si>
    <t>CHK_FRAME_SIZE_STATIC</t>
  </si>
  <si>
    <t>CHK_RATE_LIMITATION</t>
  </si>
  <si>
    <t>REG_CHK_NB_BYTES_LSB</t>
  </si>
  <si>
    <t>CHK_NB_BYTES_LSB</t>
  </si>
  <si>
    <t>Number of bytes to check (LSB)</t>
  </si>
  <si>
    <t>REG_CHK_NB_BYTES_MSB</t>
  </si>
  <si>
    <t>CHK_NB_BYTES_MSB</t>
  </si>
  <si>
    <t>Number of bytes to check (MSB)</t>
  </si>
  <si>
    <t>REG_CHK_TEST_DURATION_LSB</t>
  </si>
  <si>
    <t>CHK_TEST_DURATION_LSB</t>
  </si>
  <si>
    <t>Duration time to received all data (LSB)</t>
  </si>
  <si>
    <t>REG_CHK_TEST_DURATION_MSB</t>
  </si>
  <si>
    <t>CHK_TEST_DURATION_MSB</t>
  </si>
  <si>
    <t>Duration time to received all data (MSB)</t>
  </si>
  <si>
    <t>REG_LB_GEN_UDP_PORT</t>
  </si>
  <si>
    <t>LB_GEN_DEST_PORT</t>
  </si>
  <si>
    <t>Destination port use for generated frames and loopback</t>
  </si>
  <si>
    <t>LB_GEN_SRC_PORT</t>
  </si>
  <si>
    <t>Source port use for generated frames and loopback</t>
  </si>
  <si>
    <t>REG_LB_GEN_DEST_IP_ADDR</t>
  </si>
  <si>
    <t>LB_GEN_DEST_IP_ADDR</t>
  </si>
  <si>
    <t>Destination IP Address use for generated frames and loopback</t>
  </si>
  <si>
    <t>REG_CHK_UDP_PORT</t>
  </si>
  <si>
    <t>CHK_LISTENING_PORT</t>
  </si>
  <si>
    <t>Listening port of integrated checker</t>
  </si>
  <si>
    <t>IRQ_GEN_DONE</t>
  </si>
  <si>
    <t>End of frames generation</t>
  </si>
  <si>
    <t>IRQ_GEN_ERR_TIMEOUT</t>
  </si>
  <si>
    <t>Timeout reach during generation of frames</t>
  </si>
  <si>
    <t>IRQ_CHK_DONE</t>
  </si>
  <si>
    <t>End of frames verification</t>
  </si>
  <si>
    <t>IRQ_CHK_ERR_FRAME_SIZE</t>
  </si>
  <si>
    <t>Frame size error detection</t>
  </si>
  <si>
    <t>IRQ_CHK_ERR_DATA</t>
  </si>
  <si>
    <t>Data error detection</t>
  </si>
  <si>
    <t>IRQ_CHK_ERR_TIMEOUT</t>
  </si>
  <si>
    <t>Timeout reach during checking of frames</t>
  </si>
  <si>
    <t>IRQ_RATE_METER_TX_DONE</t>
  </si>
  <si>
    <t>End of measurement</t>
  </si>
  <si>
    <t>IRQ_RATE_METER_TX_OVERFLOW</t>
  </si>
  <si>
    <t>Counter reach the maximum size of the counter</t>
  </si>
  <si>
    <t>IRQ_RATE_METER_RX_DONE</t>
  </si>
  <si>
    <t>IRQ_RATE_METER_RX_OVERFLOW</t>
  </si>
  <si>
    <t>REG_TX_RATE_METER_CTRL</t>
  </si>
  <si>
    <t>TX_RM_INIT_COUNTER</t>
  </si>
  <si>
    <t>Initialization of Rate meter counter (take into account when trigger is asserted)</t>
  </si>
  <si>
    <t>REG_TX_RM_BYTES_EXPT_LSB</t>
  </si>
  <si>
    <t>TX_RM_BYTES_EXPT_LSB</t>
  </si>
  <si>
    <t>Number of bytes expected during the measurment (LSB)</t>
  </si>
  <si>
    <t>REG_TX_RM_BYTES_EXPT_MSB</t>
  </si>
  <si>
    <t>TX_RM_BYTES_EXPT_MSB</t>
  </si>
  <si>
    <t>Number of bytes expected during the measurment (MSB)</t>
  </si>
  <si>
    <t>REG_TX_RM_CNT_BYTES_LSB</t>
  </si>
  <si>
    <t>TX_RM_CNT_BYTES_LSB</t>
  </si>
  <si>
    <t>Value of the bytes counter registered when trigger is asserted (LSB)</t>
  </si>
  <si>
    <t>REG_TX_RM_CNT_BYTES_MSB</t>
  </si>
  <si>
    <t>TX_RM_CNT_BYTES_MSB</t>
  </si>
  <si>
    <t>Value of the bytes counter registered when trigger is asserted (MSB)</t>
  </si>
  <si>
    <t>REG_TX_RM_CNT_CYCLES_LSB</t>
  </si>
  <si>
    <t>TX_RM_CNT_CYCLES_LSB</t>
  </si>
  <si>
    <t>Value of the clock counter registered when trigger is asserted (LSB)</t>
  </si>
  <si>
    <t>REG_TX_RM_CNT_CYCLES_MSB</t>
  </si>
  <si>
    <t>TX_RM_CNT_CYCLES_MSB</t>
  </si>
  <si>
    <t>Value of the clock counter registered when trigger is asserted (MSB)</t>
  </si>
  <si>
    <t>REG_RX_RATE_METER_CTRL</t>
  </si>
  <si>
    <t>RX_RM_INIT_COUNTER</t>
  </si>
  <si>
    <t>REG_RX_FM_BYTES_EXPT_LSB</t>
  </si>
  <si>
    <t>RX_RM_BYTES_EXPT_LSB</t>
  </si>
  <si>
    <t>REG_RX_RM_BYTES_EXPT_MSB</t>
  </si>
  <si>
    <t>RX_RM_BYTES_EXPT_MSB</t>
  </si>
  <si>
    <t>REG_RX_RM_CNT_BYTES_LSB</t>
  </si>
  <si>
    <t>RX_RM_CNT_BYTES_LSB</t>
  </si>
  <si>
    <t>REG_RX_RM_CNT_BYTES_MSB</t>
  </si>
  <si>
    <t>RX_RM_CNT_BYTES_MSB</t>
  </si>
  <si>
    <t>REG_RX_RM_CNT_CYCLES_LSB</t>
  </si>
  <si>
    <t>RX_RM_CNT_CYCLES_LSB</t>
  </si>
  <si>
    <t>REG_RX_RM_CNT_CYCLES_MSB</t>
  </si>
  <si>
    <t>RX_RM_CNT_CYCLES_MSB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</si>
</sst>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5" tint="0.79998168889431442"/>
      <name val="Arial"/>
      <family val="2"/>
    </font>
    <font>
      <sz val="10"/>
      <name val="Arial"/>
      <family val="2"/>
    </font>
    <font>
      <i/>
      <sz val="11"/>
      <color theme="1"/>
      <name val="Arial"/>
      <family val="2"/>
    </font>
    <font>
      <sz val="9"/>
      <color indexed="81"/>
      <name val="Tahoma"/>
      <family val="2"/>
    </font>
    <font>
      <b/>
      <sz val="20"/>
      <color theme="1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8"/>
      <color indexed="9"/>
      <name val="Arial"/>
      <family val="2"/>
    </font>
    <font>
      <b/>
      <sz val="10"/>
      <color theme="1"/>
      <name val="Arial"/>
      <family val="2"/>
    </font>
    <font>
      <sz val="10"/>
      <color indexed="12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00808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theme="4" tint="0.59996337778862885"/>
      </bottom>
      <diagonal/>
    </border>
    <border>
      <left/>
      <right style="medium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theme="4" tint="0.59996337778862885"/>
      </left>
      <right style="thick">
        <color auto="1"/>
      </right>
      <top style="thin">
        <color theme="4" tint="0.59996337778862885"/>
      </top>
      <bottom style="thin">
        <color theme="4" tint="0.59996337778862885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0" xfId="0" applyFont="1"/>
    <xf numFmtId="0" fontId="2" fillId="0" borderId="4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2" fillId="0" borderId="12" xfId="0" quotePrefix="1" applyFont="1" applyBorder="1" applyAlignment="1">
      <alignment vertical="center"/>
    </xf>
    <xf numFmtId="0" fontId="2" fillId="0" borderId="13" xfId="0" quotePrefix="1" applyFont="1" applyBorder="1" applyAlignment="1">
      <alignment vertical="center"/>
    </xf>
    <xf numFmtId="0" fontId="2" fillId="0" borderId="14" xfId="0" quotePrefix="1" applyFont="1" applyBorder="1" applyAlignment="1">
      <alignment vertical="center"/>
    </xf>
    <xf numFmtId="0" fontId="2" fillId="0" borderId="15" xfId="0" quotePrefix="1" applyFont="1" applyBorder="1" applyAlignment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0" borderId="5" xfId="0" quotePrefix="1" applyFont="1" applyBorder="1" applyAlignment="1">
      <alignment horizontal="center" vertical="center"/>
    </xf>
    <xf numFmtId="0" fontId="2" fillId="0" borderId="7" xfId="0" quotePrefix="1" applyFont="1" applyBorder="1" applyAlignment="1">
      <alignment horizontal="center" vertical="center"/>
    </xf>
    <xf numFmtId="0" fontId="2" fillId="0" borderId="9" xfId="0" quotePrefix="1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0" xfId="0" applyFont="1"/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2" fillId="0" borderId="0" xfId="0" applyFont="1"/>
    <xf numFmtId="0" fontId="7" fillId="0" borderId="0" xfId="0" applyFont="1"/>
    <xf numFmtId="0" fontId="0" fillId="0" borderId="31" xfId="0" quotePrefix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9" xfId="0" applyFont="1" applyFill="1" applyBorder="1" applyAlignment="1">
      <alignment vertical="center"/>
    </xf>
    <xf numFmtId="0" fontId="2" fillId="0" borderId="10" xfId="0" applyFont="1" applyBorder="1" applyAlignment="1">
      <alignment horizontal="center" vertical="center"/>
    </xf>
    <xf numFmtId="0" fontId="0" fillId="0" borderId="33" xfId="0" applyBorder="1"/>
    <xf numFmtId="0" fontId="0" fillId="0" borderId="34" xfId="0" applyBorder="1" applyAlignment="1">
      <alignment horizontal="right"/>
    </xf>
    <xf numFmtId="0" fontId="8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1" fillId="4" borderId="37" xfId="0" applyFont="1" applyFill="1" applyBorder="1"/>
    <xf numFmtId="0" fontId="12" fillId="4" borderId="38" xfId="0" applyFont="1" applyFill="1" applyBorder="1" applyAlignment="1">
      <alignment horizontal="center"/>
    </xf>
    <xf numFmtId="0" fontId="2" fillId="4" borderId="38" xfId="0" applyFont="1" applyFill="1" applyBorder="1"/>
    <xf numFmtId="0" fontId="2" fillId="4" borderId="39" xfId="0" applyFont="1" applyFill="1" applyBorder="1"/>
    <xf numFmtId="0" fontId="2" fillId="0" borderId="40" xfId="0" applyFont="1" applyBorder="1"/>
    <xf numFmtId="0" fontId="2" fillId="0" borderId="42" xfId="0" applyFont="1" applyBorder="1"/>
    <xf numFmtId="0" fontId="2" fillId="0" borderId="43" xfId="0" applyFont="1" applyBorder="1"/>
    <xf numFmtId="0" fontId="2" fillId="4" borderId="44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/>
    <xf numFmtId="0" fontId="2" fillId="0" borderId="48" xfId="0" applyFont="1" applyBorder="1"/>
    <xf numFmtId="0" fontId="2" fillId="0" borderId="34" xfId="0" applyFont="1" applyBorder="1"/>
    <xf numFmtId="0" fontId="2" fillId="0" borderId="35" xfId="0" applyFont="1" applyBorder="1" applyAlignment="1">
      <alignment horizontal="center"/>
    </xf>
    <xf numFmtId="0" fontId="2" fillId="0" borderId="35" xfId="0" applyFont="1" applyBorder="1"/>
    <xf numFmtId="0" fontId="13" fillId="5" borderId="36" xfId="0" applyFont="1" applyFill="1" applyBorder="1"/>
    <xf numFmtId="0" fontId="2" fillId="5" borderId="0" xfId="0" applyFont="1" applyFill="1"/>
    <xf numFmtId="0" fontId="2" fillId="5" borderId="40" xfId="0" applyFont="1" applyFill="1" applyBorder="1"/>
    <xf numFmtId="0" fontId="2" fillId="5" borderId="34" xfId="0" applyFont="1" applyFill="1" applyBorder="1"/>
    <xf numFmtId="0" fontId="2" fillId="5" borderId="17" xfId="0" applyFont="1" applyFill="1" applyBorder="1"/>
    <xf numFmtId="0" fontId="2" fillId="5" borderId="47" xfId="0" applyFont="1" applyFill="1" applyBorder="1"/>
    <xf numFmtId="0" fontId="12" fillId="5" borderId="0" xfId="0" applyFont="1" applyFill="1" applyAlignment="1">
      <alignment horizontal="center"/>
    </xf>
    <xf numFmtId="0" fontId="2" fillId="0" borderId="45" xfId="0" applyFont="1" applyBorder="1"/>
    <xf numFmtId="0" fontId="0" fillId="6" borderId="35" xfId="0" applyFill="1" applyBorder="1" applyAlignment="1">
      <alignment horizontal="center"/>
    </xf>
    <xf numFmtId="0" fontId="1" fillId="7" borderId="16" xfId="0" applyFont="1" applyFill="1" applyBorder="1" applyAlignment="1">
      <alignment horizontal="center"/>
    </xf>
    <xf numFmtId="0" fontId="1" fillId="7" borderId="1" xfId="0" applyFont="1" applyFill="1" applyBorder="1"/>
    <xf numFmtId="0" fontId="1" fillId="7" borderId="11" xfId="0" applyFont="1" applyFill="1" applyBorder="1"/>
    <xf numFmtId="0" fontId="1" fillId="7" borderId="2" xfId="0" applyFont="1" applyFill="1" applyBorder="1"/>
    <xf numFmtId="0" fontId="1" fillId="7" borderId="24" xfId="0" applyFont="1" applyFill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/>
    <xf numFmtId="0" fontId="0" fillId="7" borderId="26" xfId="0" applyFill="1" applyBorder="1"/>
    <xf numFmtId="0" fontId="0" fillId="7" borderId="30" xfId="0" applyFill="1" applyBorder="1"/>
    <xf numFmtId="0" fontId="0" fillId="7" borderId="29" xfId="0" applyFill="1" applyBorder="1"/>
    <xf numFmtId="0" fontId="2" fillId="0" borderId="5" xfId="0" applyFont="1" applyBorder="1" applyAlignment="1">
      <alignment horizontal="center" vertical="center"/>
    </xf>
    <xf numFmtId="0" fontId="9" fillId="3" borderId="49" xfId="0" applyFont="1" applyFill="1" applyBorder="1" applyAlignment="1">
      <alignment horizontal="center"/>
    </xf>
    <xf numFmtId="0" fontId="9" fillId="3" borderId="50" xfId="0" applyFont="1" applyFill="1" applyBorder="1" applyAlignment="1">
      <alignment horizontal="center"/>
    </xf>
    <xf numFmtId="0" fontId="14" fillId="4" borderId="51" xfId="0" applyFont="1" applyFill="1" applyBorder="1" applyAlignment="1">
      <alignment horizontal="center"/>
    </xf>
    <xf numFmtId="0" fontId="14" fillId="4" borderId="5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0" fillId="7" borderId="35" xfId="0" applyFill="1" applyBorder="1" applyAlignment="1">
      <alignment horizontal="right"/>
    </xf>
    <xf numFmtId="0" fontId="2" fillId="0" borderId="5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4" fillId="0" borderId="5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2" fillId="0" borderId="36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0" fillId="7" borderId="62" xfId="0" applyFill="1" applyBorder="1"/>
    <xf numFmtId="0" fontId="0" fillId="7" borderId="63" xfId="0" applyFill="1" applyBorder="1"/>
    <xf numFmtId="0" fontId="0" fillId="7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0" fillId="7" borderId="66" xfId="0" applyFill="1" applyBorder="1"/>
    <xf numFmtId="0" fontId="0" fillId="7" borderId="67" xfId="0" applyFill="1" applyBorder="1"/>
    <xf numFmtId="0" fontId="4" fillId="0" borderId="35" xfId="0" applyFont="1" applyBorder="1" applyAlignment="1">
      <alignment horizontal="left" vertical="center"/>
    </xf>
    <xf numFmtId="0" fontId="2" fillId="0" borderId="36" xfId="0" applyFont="1" applyBorder="1"/>
    <xf numFmtId="0" fontId="2" fillId="0" borderId="41" xfId="0" applyFont="1" applyBorder="1"/>
    <xf numFmtId="0" fontId="0" fillId="6" borderId="35" xfId="0" applyFill="1" applyBorder="1"/>
    <xf numFmtId="0" fontId="0" fillId="0" borderId="35" xfId="0" applyBorder="1" applyAlignment="1">
      <alignment horizontal="center"/>
    </xf>
    <xf numFmtId="0" fontId="2" fillId="0" borderId="0" xfId="0" applyFont="1" applyBorder="1"/>
    <xf numFmtId="0" fontId="1" fillId="7" borderId="23" xfId="0" applyFont="1" applyFill="1" applyBorder="1" applyAlignment="1">
      <alignment horizontal="center" vertical="center" wrapText="1"/>
    </xf>
    <xf numFmtId="0" fontId="1" fillId="7" borderId="19" xfId="0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/>
    </xf>
    <xf numFmtId="0" fontId="1" fillId="7" borderId="28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9" fillId="3" borderId="57" xfId="0" applyFont="1" applyFill="1" applyBorder="1" applyAlignment="1">
      <alignment horizontal="center"/>
    </xf>
    <xf numFmtId="0" fontId="9" fillId="3" borderId="58" xfId="0" applyFont="1" applyFill="1" applyBorder="1" applyAlignment="1">
      <alignment horizontal="center"/>
    </xf>
    <xf numFmtId="0" fontId="9" fillId="3" borderId="59" xfId="0" applyFont="1" applyFill="1" applyBorder="1" applyAlignment="1">
      <alignment horizontal="center"/>
    </xf>
    <xf numFmtId="0" fontId="1" fillId="6" borderId="35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35" xfId="0" applyFill="1" applyBorder="1" applyAlignment="1"/>
    <xf numFmtId="0" fontId="0" fillId="0" borderId="35" xfId="0" applyBorder="1" applyAlignment="1"/>
    <xf numFmtId="0" fontId="0" fillId="0" borderId="14" xfId="0" applyBorder="1" applyAlignment="1"/>
  </cellXfs>
  <cellStyles count="1">
    <cellStyle name="Normal" xfId="0" builtinId="0"/>
  </cellStyles>
  <dxfs count="97"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746760</xdr:colOff>
          <xdr:row>12</xdr:row>
          <xdr:rowOff>68580</xdr:rowOff>
        </xdr:from>
        <xdr:to>
          <xdr:col>2</xdr:col>
          <xdr:colOff>693420</xdr:colOff>
          <xdr:row>13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847725</xdr:colOff>
      <xdr:row>6</xdr:row>
      <xdr:rowOff>0</xdr:rowOff>
    </xdr:from>
    <xdr:to>
      <xdr:col>1</xdr:col>
      <xdr:colOff>1924050</xdr:colOff>
      <xdr:row>6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47725" y="180975"/>
          <a:ext cx="2362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Exemple</a:t>
          </a:r>
        </a:p>
      </xdr:txBody>
    </xdr:sp>
    <xdr:clientData/>
  </xdr:twoCellAnchor>
  <xdr:twoCellAnchor>
    <xdr:from>
      <xdr:col>0</xdr:col>
      <xdr:colOff>847725</xdr:colOff>
      <xdr:row>6</xdr:row>
      <xdr:rowOff>0</xdr:rowOff>
    </xdr:from>
    <xdr:to>
      <xdr:col>1</xdr:col>
      <xdr:colOff>1924050</xdr:colOff>
      <xdr:row>6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47725" y="180975"/>
          <a:ext cx="2362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Exemple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2</xdr:row>
          <xdr:rowOff>45720</xdr:rowOff>
        </xdr:from>
        <xdr:to>
          <xdr:col>7</xdr:col>
          <xdr:colOff>449580</xdr:colOff>
          <xdr:row>3</xdr:row>
          <xdr:rowOff>137160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1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Enumerate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83820</xdr:colOff>
          <xdr:row>2</xdr:row>
          <xdr:rowOff>45720</xdr:rowOff>
        </xdr:from>
        <xdr:to>
          <xdr:col>38</xdr:col>
          <xdr:colOff>198120</xdr:colOff>
          <xdr:row>3</xdr:row>
          <xdr:rowOff>137160</xdr:rowOff>
        </xdr:to>
        <xdr:sp macro="" textlink="">
          <xdr:nvSpPr>
            <xdr:cNvPr id="52225" name="Add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2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708660</xdr:colOff>
          <xdr:row>2</xdr:row>
          <xdr:rowOff>45720</xdr:rowOff>
        </xdr:from>
        <xdr:to>
          <xdr:col>42</xdr:col>
          <xdr:colOff>259080</xdr:colOff>
          <xdr:row>3</xdr:row>
          <xdr:rowOff>137160</xdr:rowOff>
        </xdr:to>
        <xdr:sp macro="" textlink="">
          <xdr:nvSpPr>
            <xdr:cNvPr id="52226" name="AddIrqReg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2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Irq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762000</xdr:colOff>
          <xdr:row>2</xdr:row>
          <xdr:rowOff>45720</xdr:rowOff>
        </xdr:from>
        <xdr:to>
          <xdr:col>43</xdr:col>
          <xdr:colOff>2286000</xdr:colOff>
          <xdr:row>3</xdr:row>
          <xdr:rowOff>137160</xdr:rowOff>
        </xdr:to>
        <xdr:sp macro="" textlink="">
          <xdr:nvSpPr>
            <xdr:cNvPr id="52227" name="Remove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2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2788920</xdr:colOff>
          <xdr:row>2</xdr:row>
          <xdr:rowOff>45720</xdr:rowOff>
        </xdr:from>
        <xdr:to>
          <xdr:col>43</xdr:col>
          <xdr:colOff>5128260</xdr:colOff>
          <xdr:row>3</xdr:row>
          <xdr:rowOff>137160</xdr:rowOff>
        </xdr:to>
        <xdr:sp macro="" textlink="">
          <xdr:nvSpPr>
            <xdr:cNvPr id="52228" name="UpdateAddr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2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60960</xdr:rowOff>
        </xdr:from>
        <xdr:to>
          <xdr:col>0</xdr:col>
          <xdr:colOff>3436620</xdr:colOff>
          <xdr:row>5</xdr:row>
          <xdr:rowOff>83820</xdr:rowOff>
        </xdr:to>
        <xdr:sp macro="" textlink="">
          <xdr:nvSpPr>
            <xdr:cNvPr id="52229" name="Collapse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2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Collapse Register List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83820</xdr:colOff>
          <xdr:row>2</xdr:row>
          <xdr:rowOff>45720</xdr:rowOff>
        </xdr:from>
        <xdr:to>
          <xdr:col>38</xdr:col>
          <xdr:colOff>198120</xdr:colOff>
          <xdr:row>3</xdr:row>
          <xdr:rowOff>137160</xdr:rowOff>
        </xdr:to>
        <xdr:sp macro="" textlink="">
          <xdr:nvSpPr>
            <xdr:cNvPr id="53249" name="Add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3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708660</xdr:colOff>
          <xdr:row>2</xdr:row>
          <xdr:rowOff>45720</xdr:rowOff>
        </xdr:from>
        <xdr:to>
          <xdr:col>42</xdr:col>
          <xdr:colOff>259080</xdr:colOff>
          <xdr:row>3</xdr:row>
          <xdr:rowOff>137160</xdr:rowOff>
        </xdr:to>
        <xdr:sp macro="" textlink="">
          <xdr:nvSpPr>
            <xdr:cNvPr id="53250" name="AddIrqReg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3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Irq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762000</xdr:colOff>
          <xdr:row>2</xdr:row>
          <xdr:rowOff>45720</xdr:rowOff>
        </xdr:from>
        <xdr:to>
          <xdr:col>43</xdr:col>
          <xdr:colOff>2286000</xdr:colOff>
          <xdr:row>3</xdr:row>
          <xdr:rowOff>137160</xdr:rowOff>
        </xdr:to>
        <xdr:sp macro="" textlink="">
          <xdr:nvSpPr>
            <xdr:cNvPr id="53251" name="Remove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3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2788920</xdr:colOff>
          <xdr:row>2</xdr:row>
          <xdr:rowOff>45720</xdr:rowOff>
        </xdr:from>
        <xdr:to>
          <xdr:col>43</xdr:col>
          <xdr:colOff>5128260</xdr:colOff>
          <xdr:row>3</xdr:row>
          <xdr:rowOff>137160</xdr:rowOff>
        </xdr:to>
        <xdr:sp macro="" textlink="">
          <xdr:nvSpPr>
            <xdr:cNvPr id="53252" name="UpdateAddr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3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60960</xdr:rowOff>
        </xdr:from>
        <xdr:to>
          <xdr:col>0</xdr:col>
          <xdr:colOff>3436620</xdr:colOff>
          <xdr:row>5</xdr:row>
          <xdr:rowOff>83820</xdr:rowOff>
        </xdr:to>
        <xdr:sp macro="" textlink="">
          <xdr:nvSpPr>
            <xdr:cNvPr id="53253" name="Collapse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3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Collapse Register List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M34"/>
  <sheetViews>
    <sheetView showGridLines="0" workbookViewId="0">
      <selection activeCell="E21" sqref="E21"/>
    </sheetView>
  </sheetViews>
  <sheetFormatPr defaultColWidth="11" defaultRowHeight="13.9"/>
  <cols>
    <col min="1" max="1" width="4.125" customWidth="1"/>
    <col min="2" max="2" width="18.625" customWidth="1"/>
    <col min="3" max="3" width="19.125" customWidth="1"/>
    <col min="4" max="4" width="5.625" customWidth="1"/>
    <col min="5" max="5" width="31.375" customWidth="1"/>
    <col min="6" max="6" width="16.625" customWidth="1"/>
    <col min="7" max="7" width="4.125" customWidth="1"/>
    <col min="8" max="9" width="8.625" customWidth="1"/>
    <col min="10" max="10" width="59.625" customWidth="1"/>
    <col min="11" max="11" width="4.125" customWidth="1"/>
  </cols>
  <sheetData>
    <row r="2" spans="2:13" ht="24.6">
      <c r="B2" s="23" t="s">
        <v>0</v>
      </c>
    </row>
    <row r="3" spans="2:13">
      <c r="B3" s="22" t="s">
        <v>1</v>
      </c>
    </row>
    <row r="5" spans="2:13" ht="14.45" thickBot="1">
      <c r="B5" s="1" t="s">
        <v>2</v>
      </c>
      <c r="E5" s="1" t="s">
        <v>3</v>
      </c>
      <c r="H5" s="1" t="s">
        <v>4</v>
      </c>
      <c r="I5" s="1"/>
      <c r="L5" s="1" t="s">
        <v>5</v>
      </c>
      <c r="M5" s="1"/>
    </row>
    <row r="6" spans="2:13" ht="15" thickTop="1" thickBot="1">
      <c r="B6" s="108" t="s">
        <v>6</v>
      </c>
      <c r="C6" s="109"/>
      <c r="E6" s="65" t="s">
        <v>7</v>
      </c>
      <c r="F6" s="65" t="s">
        <v>8</v>
      </c>
      <c r="H6" s="66" t="s">
        <v>9</v>
      </c>
      <c r="I6" s="67" t="s">
        <v>10</v>
      </c>
      <c r="J6" s="68" t="s">
        <v>11</v>
      </c>
      <c r="L6" s="110" t="s">
        <v>12</v>
      </c>
      <c r="M6" s="106" t="s">
        <v>13</v>
      </c>
    </row>
    <row r="7" spans="2:13">
      <c r="B7" s="69"/>
      <c r="C7" s="70"/>
      <c r="E7" s="81" t="s">
        <v>14</v>
      </c>
      <c r="F7" s="27" t="s">
        <v>15</v>
      </c>
      <c r="H7" s="11" t="s">
        <v>16</v>
      </c>
      <c r="I7" s="7"/>
      <c r="J7" s="2" t="s">
        <v>17</v>
      </c>
      <c r="L7" s="111"/>
      <c r="M7" s="107"/>
    </row>
    <row r="8" spans="2:13">
      <c r="B8" s="71" t="s">
        <v>18</v>
      </c>
      <c r="C8" s="25" t="s">
        <v>19</v>
      </c>
      <c r="E8" s="76" t="s">
        <v>19</v>
      </c>
      <c r="F8" s="28" t="s">
        <v>15</v>
      </c>
      <c r="H8" s="12"/>
      <c r="I8" s="8"/>
      <c r="J8" s="3"/>
      <c r="L8" s="15" t="s">
        <v>20</v>
      </c>
      <c r="M8" s="17" t="s">
        <v>21</v>
      </c>
    </row>
    <row r="9" spans="2:13">
      <c r="B9" s="71" t="s">
        <v>22</v>
      </c>
      <c r="C9" s="26">
        <v>8</v>
      </c>
      <c r="E9" s="89"/>
      <c r="F9" s="28"/>
      <c r="H9" s="12"/>
      <c r="I9" s="8"/>
      <c r="J9" s="3"/>
      <c r="L9" s="16" t="s">
        <v>23</v>
      </c>
      <c r="M9" s="18" t="s">
        <v>24</v>
      </c>
    </row>
    <row r="10" spans="2:13">
      <c r="B10" s="71" t="s">
        <v>25</v>
      </c>
      <c r="C10" s="26">
        <v>32</v>
      </c>
      <c r="E10" s="89"/>
      <c r="F10" s="28"/>
      <c r="H10" s="12"/>
      <c r="I10" s="8"/>
      <c r="J10" s="3"/>
      <c r="L10" s="16" t="s">
        <v>26</v>
      </c>
      <c r="M10" s="18" t="s">
        <v>27</v>
      </c>
    </row>
    <row r="11" spans="2:13">
      <c r="B11" s="71" t="s">
        <v>8</v>
      </c>
      <c r="C11" s="20" t="s">
        <v>28</v>
      </c>
      <c r="E11" s="89"/>
      <c r="F11" s="28"/>
      <c r="H11" s="12"/>
      <c r="I11" s="8"/>
      <c r="J11" s="3"/>
      <c r="L11" s="16" t="s">
        <v>29</v>
      </c>
      <c r="M11" s="18" t="s">
        <v>30</v>
      </c>
    </row>
    <row r="12" spans="2:13" ht="14.45" thickBot="1">
      <c r="B12" s="72"/>
      <c r="C12" s="73"/>
      <c r="E12" s="29"/>
      <c r="F12" s="28"/>
      <c r="H12" s="12"/>
      <c r="I12" s="8"/>
      <c r="J12" s="3"/>
      <c r="L12" s="16" t="s">
        <v>31</v>
      </c>
      <c r="M12" s="18" t="s">
        <v>32</v>
      </c>
    </row>
    <row r="13" spans="2:13" ht="14.45" thickBot="1">
      <c r="B13" s="75"/>
      <c r="C13" s="74"/>
      <c r="E13" s="29"/>
      <c r="F13" s="28"/>
      <c r="H13" s="12"/>
      <c r="I13" s="8"/>
      <c r="J13" s="3"/>
      <c r="L13" s="90"/>
      <c r="M13" s="91" t="s">
        <v>33</v>
      </c>
    </row>
    <row r="14" spans="2:13" ht="15" thickTop="1" thickBot="1">
      <c r="B14" s="72"/>
      <c r="C14" s="73"/>
      <c r="E14" s="29"/>
      <c r="F14" s="28"/>
      <c r="H14" s="12"/>
      <c r="I14" s="8"/>
      <c r="J14" s="3"/>
    </row>
    <row r="15" spans="2:13">
      <c r="E15" s="29"/>
      <c r="F15" s="28"/>
      <c r="H15" s="12"/>
      <c r="I15" s="8"/>
      <c r="J15" s="3"/>
    </row>
    <row r="16" spans="2:13" ht="14.45" thickBot="1">
      <c r="B16" s="1" t="s">
        <v>34</v>
      </c>
      <c r="E16" s="29"/>
      <c r="F16" s="28"/>
      <c r="H16" s="12"/>
      <c r="I16" s="8"/>
      <c r="J16" s="3"/>
    </row>
    <row r="17" spans="2:10" ht="14.45" thickBot="1">
      <c r="B17" s="108" t="s">
        <v>35</v>
      </c>
      <c r="C17" s="109"/>
      <c r="E17" s="29"/>
      <c r="F17" s="28"/>
      <c r="H17" s="12"/>
      <c r="I17" s="8"/>
      <c r="J17" s="3"/>
    </row>
    <row r="18" spans="2:10">
      <c r="B18" s="75"/>
      <c r="C18" s="74"/>
      <c r="E18" s="29"/>
      <c r="F18" s="28"/>
      <c r="H18" s="12"/>
      <c r="I18" s="8"/>
      <c r="J18" s="3"/>
    </row>
    <row r="19" spans="2:10">
      <c r="B19" s="71" t="s">
        <v>36</v>
      </c>
      <c r="C19" s="24" t="s">
        <v>37</v>
      </c>
      <c r="E19" s="29"/>
      <c r="F19" s="28"/>
      <c r="H19" s="12"/>
      <c r="I19" s="8"/>
      <c r="J19" s="3"/>
    </row>
    <row r="20" spans="2:10" ht="14.45" thickBot="1">
      <c r="B20" s="72"/>
      <c r="C20" s="73"/>
      <c r="E20" s="29"/>
      <c r="F20" s="28"/>
      <c r="H20" s="12"/>
      <c r="I20" s="8"/>
      <c r="J20" s="3"/>
    </row>
    <row r="21" spans="2:10" ht="14.45" thickBot="1">
      <c r="B21" s="108" t="s">
        <v>38</v>
      </c>
      <c r="C21" s="109"/>
      <c r="E21" s="30"/>
      <c r="F21" s="28"/>
      <c r="H21" s="12"/>
      <c r="I21" s="8"/>
      <c r="J21" s="3"/>
    </row>
    <row r="22" spans="2:10">
      <c r="B22" s="75"/>
      <c r="C22" s="74"/>
      <c r="E22" s="30"/>
      <c r="F22" s="28"/>
      <c r="H22" s="12"/>
      <c r="I22" s="8"/>
      <c r="J22" s="3"/>
    </row>
    <row r="23" spans="2:10">
      <c r="B23" s="71" t="s">
        <v>39</v>
      </c>
      <c r="C23" s="24">
        <v>1</v>
      </c>
      <c r="E23" s="29"/>
      <c r="F23" s="28"/>
      <c r="H23" s="12"/>
      <c r="I23" s="8"/>
      <c r="J23" s="3"/>
    </row>
    <row r="24" spans="2:10">
      <c r="B24" s="71" t="s">
        <v>40</v>
      </c>
      <c r="C24" s="21" t="s">
        <v>41</v>
      </c>
      <c r="E24" s="29"/>
      <c r="F24" s="28"/>
      <c r="H24" s="12"/>
      <c r="I24" s="8"/>
      <c r="J24" s="3"/>
    </row>
    <row r="25" spans="2:10" ht="14.45" thickBot="1">
      <c r="B25" s="72"/>
      <c r="C25" s="73"/>
      <c r="E25" s="31"/>
      <c r="F25" s="28"/>
      <c r="H25" s="12"/>
      <c r="I25" s="8"/>
      <c r="J25" s="3"/>
    </row>
    <row r="26" spans="2:10">
      <c r="E26" s="30"/>
      <c r="F26" s="28"/>
      <c r="H26" s="12"/>
      <c r="I26" s="8"/>
      <c r="J26" s="3"/>
    </row>
    <row r="27" spans="2:10" ht="14.45" thickBot="1">
      <c r="B27" s="1" t="s">
        <v>42</v>
      </c>
      <c r="E27" s="31"/>
      <c r="F27" s="28"/>
      <c r="H27" s="13"/>
      <c r="I27" s="9"/>
      <c r="J27" s="4"/>
    </row>
    <row r="28" spans="2:10" ht="14.45" thickTop="1">
      <c r="B28" s="94"/>
      <c r="C28" s="95"/>
      <c r="E28" s="29"/>
      <c r="F28" s="28"/>
      <c r="H28" s="12"/>
      <c r="I28" s="8"/>
      <c r="J28" s="3"/>
    </row>
    <row r="29" spans="2:10">
      <c r="B29" s="96" t="s">
        <v>43</v>
      </c>
      <c r="C29" s="97" t="s">
        <v>44</v>
      </c>
      <c r="E29" s="31"/>
      <c r="F29" s="28"/>
      <c r="H29" s="12"/>
      <c r="I29" s="9"/>
      <c r="J29" s="5"/>
    </row>
    <row r="30" spans="2:10">
      <c r="B30" s="96" t="s">
        <v>45</v>
      </c>
      <c r="C30" s="97" t="s">
        <v>46</v>
      </c>
      <c r="E30" s="30"/>
      <c r="F30" s="28"/>
      <c r="H30" s="12"/>
      <c r="I30" s="9"/>
      <c r="J30" s="5"/>
    </row>
    <row r="31" spans="2:10" ht="14.45" thickBot="1">
      <c r="B31" s="96" t="s">
        <v>47</v>
      </c>
      <c r="C31" s="97">
        <v>2022</v>
      </c>
      <c r="E31" s="32"/>
      <c r="F31" s="33"/>
      <c r="H31" s="14"/>
      <c r="I31" s="10"/>
      <c r="J31" s="6"/>
    </row>
    <row r="32" spans="2:10" ht="14.45" thickBot="1">
      <c r="B32" s="98"/>
      <c r="C32" s="99"/>
    </row>
    <row r="33" spans="8:9" ht="15" thickTop="1">
      <c r="H33" s="19"/>
      <c r="I33" s="19"/>
    </row>
    <row r="34" spans="8:9" ht="14.45">
      <c r="H34" s="19"/>
      <c r="I34" s="19"/>
    </row>
  </sheetData>
  <mergeCells count="5">
    <mergeCell ref="M6:M7"/>
    <mergeCell ref="B6:C6"/>
    <mergeCell ref="L6:L7"/>
    <mergeCell ref="B21:C21"/>
    <mergeCell ref="B17:C17"/>
  </mergeCells>
  <conditionalFormatting sqref="C10">
    <cfRule type="expression" dxfId="96" priority="3">
      <formula xml:space="preserve"> NOT(IF(NewDataWidth=8,TRUE,IF(NewDataWidth=16,TRUE,IF(NewDataWidth=32,TRUE,FALSE))))</formula>
    </cfRule>
  </conditionalFormatting>
  <conditionalFormatting sqref="C19">
    <cfRule type="expression" dxfId="95" priority="1">
      <formula xml:space="preserve"> NOT(IF(SingleMultipleOutput="SINGLE",TRUE,IF(SingleMultipleOutput="MULTIPLE",TRUE,FALSE)))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b">
                <anchor moveWithCells="1" sizeWithCells="1">
                  <from>
                    <xdr:col>1</xdr:col>
                    <xdr:colOff>746760</xdr:colOff>
                    <xdr:row>12</xdr:row>
                    <xdr:rowOff>68580</xdr:rowOff>
                  </from>
                  <to>
                    <xdr:col>2</xdr:col>
                    <xdr:colOff>693420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H12"/>
  <sheetViews>
    <sheetView workbookViewId="0">
      <pane ySplit="6" topLeftCell="A7" activePane="bottomLeft" state="frozen"/>
      <selection pane="bottomLeft" activeCell="D14" sqref="D14"/>
    </sheetView>
  </sheetViews>
  <sheetFormatPr defaultColWidth="11" defaultRowHeight="13.9"/>
  <cols>
    <col min="1" max="1" width="23.125" customWidth="1"/>
    <col min="2" max="2" width="27.125" customWidth="1"/>
    <col min="3" max="3" width="18.625" customWidth="1"/>
    <col min="4" max="4" width="20.625" customWidth="1"/>
    <col min="5" max="5" width="19.125" customWidth="1"/>
  </cols>
  <sheetData>
    <row r="1" spans="1:8">
      <c r="A1" s="1" t="s">
        <v>48</v>
      </c>
    </row>
    <row r="2" spans="1:8">
      <c r="A2" s="22" t="s">
        <v>49</v>
      </c>
      <c r="D2" s="115" t="s">
        <v>50</v>
      </c>
      <c r="E2" s="116"/>
      <c r="F2" s="116"/>
      <c r="G2" s="116"/>
      <c r="H2" s="116"/>
    </row>
    <row r="3" spans="1:8">
      <c r="A3" s="22" t="s">
        <v>51</v>
      </c>
      <c r="D3" s="82" t="s">
        <v>52</v>
      </c>
      <c r="E3" s="104" t="s">
        <v>53</v>
      </c>
      <c r="F3" s="117"/>
      <c r="G3" s="117"/>
      <c r="H3" s="117"/>
    </row>
    <row r="4" spans="1:8">
      <c r="A4" s="22"/>
      <c r="D4" s="82" t="s">
        <v>54</v>
      </c>
      <c r="E4" s="104">
        <v>5</v>
      </c>
      <c r="F4" s="117"/>
      <c r="G4" s="117"/>
      <c r="H4" s="117"/>
    </row>
    <row r="5" spans="1:8" ht="14.45" thickBot="1"/>
    <row r="6" spans="1:8" ht="15" thickTop="1" thickBot="1">
      <c r="A6" s="77" t="s">
        <v>55</v>
      </c>
      <c r="B6" s="78" t="s">
        <v>56</v>
      </c>
      <c r="C6" s="112" t="s">
        <v>11</v>
      </c>
      <c r="D6" s="113"/>
      <c r="E6" s="114"/>
    </row>
    <row r="7" spans="1:8" ht="15" thickTop="1" thickBot="1">
      <c r="A7" s="39"/>
    </row>
    <row r="8" spans="1:8" ht="14.45" thickBot="1">
      <c r="A8" s="79" t="s">
        <v>57</v>
      </c>
      <c r="B8" s="80" t="s">
        <v>58</v>
      </c>
    </row>
    <row r="9" spans="1:8" ht="14.45" thickTop="1">
      <c r="A9" s="83">
        <v>0</v>
      </c>
      <c r="B9" s="86" t="s">
        <v>59</v>
      </c>
    </row>
    <row r="10" spans="1:8">
      <c r="A10" s="84">
        <v>1</v>
      </c>
      <c r="B10" s="87" t="s">
        <v>60</v>
      </c>
      <c r="C10" t="s">
        <v>61</v>
      </c>
    </row>
    <row r="11" spans="1:8">
      <c r="A11" s="84">
        <v>2</v>
      </c>
      <c r="B11" s="87" t="s">
        <v>62</v>
      </c>
      <c r="C11" t="s">
        <v>63</v>
      </c>
    </row>
    <row r="12" spans="1:8" ht="14.45" thickBot="1">
      <c r="A12" s="85">
        <v>3</v>
      </c>
      <c r="B12" s="88" t="s">
        <v>64</v>
      </c>
      <c r="C12" t="s">
        <v>65</v>
      </c>
    </row>
  </sheetData>
  <mergeCells count="3">
    <mergeCell ref="C6:E6"/>
    <mergeCell ref="D2:H2"/>
    <mergeCell ref="F3:H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addEnum">
                <anchor moveWithCells="1" sizeWithCells="1">
                  <from>
                    <xdr:col>5</xdr:col>
                    <xdr:colOff>411480</xdr:colOff>
                    <xdr:row>2</xdr:row>
                    <xdr:rowOff>45720</xdr:rowOff>
                  </from>
                  <to>
                    <xdr:col>7</xdr:col>
                    <xdr:colOff>449580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AR118"/>
  <sheetViews>
    <sheetView showGridLines="0" tabSelected="1" zoomScale="70" zoomScaleNormal="70" workbookViewId="0">
      <pane ySplit="7" topLeftCell="A93" activePane="bottomLeft" state="frozen"/>
      <selection pane="bottomLeft" activeCell="AR120" sqref="AR120"/>
    </sheetView>
  </sheetViews>
  <sheetFormatPr defaultColWidth="11" defaultRowHeight="13.9"/>
  <cols>
    <col min="1" max="1" width="45.625" customWidth="1"/>
    <col min="2" max="3" width="7.625" customWidth="1"/>
    <col min="4" max="4" width="4.625" customWidth="1"/>
    <col min="5" max="36" width="2.125" customWidth="1"/>
    <col min="37" max="37" width="7.625" customWidth="1"/>
    <col min="38" max="38" width="6.625" customWidth="1"/>
    <col min="39" max="39" width="10.625" customWidth="1"/>
    <col min="40" max="41" width="7.625" customWidth="1"/>
    <col min="42" max="43" width="10.625" customWidth="1"/>
    <col min="44" max="44" width="70.625" customWidth="1"/>
    <col min="46" max="47" width="25.625" customWidth="1"/>
  </cols>
  <sheetData>
    <row r="2" spans="1:44">
      <c r="A2" s="115" t="s">
        <v>66</v>
      </c>
      <c r="B2" s="118"/>
      <c r="E2" s="115" t="s">
        <v>67</v>
      </c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</row>
    <row r="3" spans="1:44" ht="15" customHeight="1">
      <c r="A3" s="103" t="s">
        <v>68</v>
      </c>
      <c r="B3" s="64">
        <v>8</v>
      </c>
      <c r="E3" s="120" t="s">
        <v>18</v>
      </c>
      <c r="F3" s="121"/>
      <c r="G3" s="121"/>
      <c r="H3" s="121"/>
      <c r="I3" s="121"/>
      <c r="J3" s="121"/>
      <c r="K3" s="121"/>
      <c r="L3" s="121"/>
      <c r="M3" s="119" t="s">
        <v>69</v>
      </c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20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</row>
    <row r="4" spans="1:44" ht="15" customHeight="1">
      <c r="A4" s="103" t="s">
        <v>70</v>
      </c>
      <c r="B4" s="64">
        <v>32</v>
      </c>
      <c r="E4" s="120" t="s">
        <v>71</v>
      </c>
      <c r="F4" s="121"/>
      <c r="G4" s="121"/>
      <c r="H4" s="121"/>
      <c r="I4" s="121"/>
      <c r="J4" s="121"/>
      <c r="K4" s="121"/>
      <c r="L4" s="121"/>
      <c r="M4" s="119">
        <v>1</v>
      </c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</row>
    <row r="5" spans="1:44">
      <c r="A5" s="122"/>
      <c r="B5" s="122"/>
    </row>
    <row r="6" spans="1:44">
      <c r="E6" s="34" t="s">
        <v>72</v>
      </c>
      <c r="AJ6" s="35" t="s">
        <v>73</v>
      </c>
    </row>
    <row r="7" spans="1:44" ht="25.5" customHeight="1">
      <c r="A7" s="37" t="s">
        <v>74</v>
      </c>
      <c r="B7" s="36" t="s">
        <v>75</v>
      </c>
      <c r="C7" s="36" t="s">
        <v>76</v>
      </c>
      <c r="D7" s="36" t="s">
        <v>77</v>
      </c>
      <c r="E7" s="38">
        <v>31</v>
      </c>
      <c r="F7" s="38">
        <v>30</v>
      </c>
      <c r="G7" s="38">
        <v>29</v>
      </c>
      <c r="H7" s="38">
        <v>28</v>
      </c>
      <c r="I7" s="38">
        <v>27</v>
      </c>
      <c r="J7" s="38">
        <v>26</v>
      </c>
      <c r="K7" s="38">
        <v>25</v>
      </c>
      <c r="L7" s="38">
        <v>24</v>
      </c>
      <c r="M7" s="38">
        <v>23</v>
      </c>
      <c r="N7" s="38">
        <v>22</v>
      </c>
      <c r="O7" s="38">
        <v>21</v>
      </c>
      <c r="P7" s="38">
        <v>20</v>
      </c>
      <c r="Q7" s="38">
        <v>19</v>
      </c>
      <c r="R7" s="38">
        <v>18</v>
      </c>
      <c r="S7" s="38">
        <v>17</v>
      </c>
      <c r="T7" s="38">
        <v>16</v>
      </c>
      <c r="U7" s="38">
        <v>15</v>
      </c>
      <c r="V7" s="38">
        <v>14</v>
      </c>
      <c r="W7" s="38">
        <v>13</v>
      </c>
      <c r="X7" s="38">
        <v>12</v>
      </c>
      <c r="Y7" s="38">
        <v>11</v>
      </c>
      <c r="Z7" s="38">
        <v>10</v>
      </c>
      <c r="AA7" s="38">
        <v>9</v>
      </c>
      <c r="AB7" s="38">
        <v>8</v>
      </c>
      <c r="AC7" s="38">
        <v>7</v>
      </c>
      <c r="AD7" s="38">
        <v>6</v>
      </c>
      <c r="AE7" s="38">
        <v>5</v>
      </c>
      <c r="AF7" s="38">
        <v>4</v>
      </c>
      <c r="AG7" s="38">
        <v>3</v>
      </c>
      <c r="AH7" s="38">
        <v>2</v>
      </c>
      <c r="AI7" s="38">
        <v>1</v>
      </c>
      <c r="AJ7" s="38">
        <v>0</v>
      </c>
      <c r="AK7" s="37" t="s">
        <v>78</v>
      </c>
      <c r="AL7" s="37" t="s">
        <v>79</v>
      </c>
      <c r="AM7" s="37" t="s">
        <v>80</v>
      </c>
      <c r="AN7" s="37" t="s">
        <v>81</v>
      </c>
      <c r="AO7" s="37" t="s">
        <v>82</v>
      </c>
      <c r="AP7" s="37" t="s">
        <v>83</v>
      </c>
      <c r="AQ7" s="37" t="s">
        <v>84</v>
      </c>
      <c r="AR7" s="37" t="s">
        <v>11</v>
      </c>
    </row>
    <row r="8" spans="1:44" ht="14.45" thickBot="1"/>
    <row r="9" spans="1:44" ht="14.45" thickTop="1">
      <c r="A9" s="41" t="s">
        <v>85</v>
      </c>
      <c r="B9" s="42">
        <v>0</v>
      </c>
      <c r="C9" s="42" t="str">
        <f>DEC2HEX(B9)</f>
        <v>0</v>
      </c>
      <c r="D9" s="48" t="s">
        <v>23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4"/>
      <c r="AK9" s="22"/>
      <c r="AL9" s="22"/>
      <c r="AM9" s="22"/>
      <c r="AN9" s="22"/>
      <c r="AO9" s="22"/>
      <c r="AP9" s="22"/>
      <c r="AQ9" s="22"/>
      <c r="AR9" s="22"/>
    </row>
    <row r="10" spans="1:44">
      <c r="A10" s="92" t="s">
        <v>86</v>
      </c>
      <c r="B10" s="22"/>
      <c r="C10" s="22"/>
      <c r="D10" s="49">
        <f>COUNTIF(E10:AJ10,"x")</f>
        <v>8</v>
      </c>
      <c r="E10" s="22"/>
      <c r="F10" s="22"/>
      <c r="G10" s="22"/>
      <c r="H10" s="51"/>
      <c r="I10" s="22"/>
      <c r="J10" s="22"/>
      <c r="K10" s="22"/>
      <c r="L10" s="53"/>
      <c r="M10" s="22"/>
      <c r="N10" s="22"/>
      <c r="O10" s="22"/>
      <c r="P10" s="51"/>
      <c r="Q10" s="22"/>
      <c r="R10" s="22"/>
      <c r="S10" s="22"/>
      <c r="T10" s="53"/>
      <c r="U10" s="22"/>
      <c r="V10" s="22"/>
      <c r="W10" s="22"/>
      <c r="X10" s="51"/>
      <c r="Y10" s="22"/>
      <c r="Z10" s="22"/>
      <c r="AA10" s="22"/>
      <c r="AB10" s="53"/>
      <c r="AC10" s="22" t="s">
        <v>87</v>
      </c>
      <c r="AD10" s="22" t="s">
        <v>87</v>
      </c>
      <c r="AE10" s="22" t="s">
        <v>87</v>
      </c>
      <c r="AF10" s="51" t="s">
        <v>87</v>
      </c>
      <c r="AG10" s="22" t="s">
        <v>87</v>
      </c>
      <c r="AH10" s="22" t="s">
        <v>87</v>
      </c>
      <c r="AI10" s="22" t="s">
        <v>87</v>
      </c>
      <c r="AJ10" s="45" t="s">
        <v>87</v>
      </c>
      <c r="AK10" s="40" t="s">
        <v>27</v>
      </c>
      <c r="AL10" s="54">
        <v>0</v>
      </c>
      <c r="AM10" s="54">
        <f>2^D10 - 1</f>
        <v>255</v>
      </c>
      <c r="AN10" s="54">
        <v>1</v>
      </c>
      <c r="AO10" s="54">
        <v>0</v>
      </c>
      <c r="AP10" s="54" t="s">
        <v>88</v>
      </c>
      <c r="AQ10" s="54">
        <v>0</v>
      </c>
      <c r="AR10" s="55" t="s">
        <v>89</v>
      </c>
    </row>
    <row r="11" spans="1:44">
      <c r="A11" s="92" t="s">
        <v>90</v>
      </c>
      <c r="B11" s="22"/>
      <c r="C11" s="22"/>
      <c r="D11" s="49">
        <f>COUNTIF(E11:AJ11,"x")</f>
        <v>8</v>
      </c>
      <c r="E11" s="22"/>
      <c r="F11" s="22"/>
      <c r="G11" s="22"/>
      <c r="H11" s="51"/>
      <c r="I11" s="22"/>
      <c r="J11" s="22"/>
      <c r="K11" s="22"/>
      <c r="L11" s="53"/>
      <c r="M11" s="22"/>
      <c r="N11" s="22"/>
      <c r="O11" s="22"/>
      <c r="P11" s="51"/>
      <c r="Q11" s="22"/>
      <c r="R11" s="22"/>
      <c r="S11" s="22"/>
      <c r="T11" s="53"/>
      <c r="U11" s="22" t="s">
        <v>87</v>
      </c>
      <c r="V11" s="22" t="s">
        <v>87</v>
      </c>
      <c r="W11" s="22" t="s">
        <v>87</v>
      </c>
      <c r="X11" s="51" t="s">
        <v>87</v>
      </c>
      <c r="Y11" s="22" t="s">
        <v>87</v>
      </c>
      <c r="Z11" s="22" t="s">
        <v>87</v>
      </c>
      <c r="AA11" s="22" t="s">
        <v>87</v>
      </c>
      <c r="AB11" s="53" t="s">
        <v>87</v>
      </c>
      <c r="AC11" s="22"/>
      <c r="AD11" s="22"/>
      <c r="AE11" s="22"/>
      <c r="AF11" s="51"/>
      <c r="AG11" s="22"/>
      <c r="AH11" s="22"/>
      <c r="AI11" s="22"/>
      <c r="AJ11" s="45"/>
      <c r="AK11" s="40" t="s">
        <v>27</v>
      </c>
      <c r="AL11" s="54">
        <v>0</v>
      </c>
      <c r="AM11" s="54">
        <f>2^D11 - 1</f>
        <v>255</v>
      </c>
      <c r="AN11" s="54">
        <v>1</v>
      </c>
      <c r="AO11" s="54">
        <v>0</v>
      </c>
      <c r="AP11" s="54" t="s">
        <v>88</v>
      </c>
      <c r="AQ11" s="54">
        <v>0</v>
      </c>
      <c r="AR11" s="55" t="s">
        <v>91</v>
      </c>
    </row>
    <row r="12" spans="1:44" ht="14.45" thickBot="1">
      <c r="A12" s="93" t="s">
        <v>92</v>
      </c>
      <c r="B12" s="46"/>
      <c r="C12" s="46"/>
      <c r="D12" s="50">
        <f>COUNTIF(E12:AJ12,"x")</f>
        <v>16</v>
      </c>
      <c r="E12" s="46" t="s">
        <v>87</v>
      </c>
      <c r="F12" s="46" t="s">
        <v>87</v>
      </c>
      <c r="G12" s="46" t="s">
        <v>87</v>
      </c>
      <c r="H12" s="52" t="s">
        <v>87</v>
      </c>
      <c r="I12" s="46" t="s">
        <v>87</v>
      </c>
      <c r="J12" s="46" t="s">
        <v>87</v>
      </c>
      <c r="K12" s="46" t="s">
        <v>87</v>
      </c>
      <c r="L12" s="63" t="s">
        <v>87</v>
      </c>
      <c r="M12" s="46" t="s">
        <v>87</v>
      </c>
      <c r="N12" s="46" t="s">
        <v>87</v>
      </c>
      <c r="O12" s="46" t="s">
        <v>87</v>
      </c>
      <c r="P12" s="52" t="s">
        <v>87</v>
      </c>
      <c r="Q12" s="46" t="s">
        <v>87</v>
      </c>
      <c r="R12" s="46" t="s">
        <v>87</v>
      </c>
      <c r="S12" s="46" t="s">
        <v>87</v>
      </c>
      <c r="T12" s="63" t="s">
        <v>87</v>
      </c>
      <c r="U12" s="46"/>
      <c r="V12" s="46"/>
      <c r="W12" s="46"/>
      <c r="X12" s="52"/>
      <c r="Y12" s="46"/>
      <c r="Z12" s="46"/>
      <c r="AA12" s="46"/>
      <c r="AB12" s="63"/>
      <c r="AC12" s="46"/>
      <c r="AD12" s="46"/>
      <c r="AE12" s="46"/>
      <c r="AF12" s="52"/>
      <c r="AG12" s="46"/>
      <c r="AH12" s="46"/>
      <c r="AI12" s="46"/>
      <c r="AJ12" s="47"/>
      <c r="AK12" s="40" t="s">
        <v>27</v>
      </c>
      <c r="AL12" s="54">
        <v>0</v>
      </c>
      <c r="AM12" s="54">
        <f>2^D12 - 1</f>
        <v>65535</v>
      </c>
      <c r="AN12" s="54">
        <v>1</v>
      </c>
      <c r="AO12" s="54">
        <v>0</v>
      </c>
      <c r="AP12" s="54" t="s">
        <v>88</v>
      </c>
      <c r="AQ12" s="54">
        <v>0</v>
      </c>
      <c r="AR12" s="55" t="s">
        <v>93</v>
      </c>
    </row>
    <row r="13" spans="1:44" ht="15" thickTop="1" thickBot="1"/>
    <row r="14" spans="1:44" ht="14.45" thickTop="1">
      <c r="A14" s="41" t="s">
        <v>94</v>
      </c>
      <c r="B14" s="42">
        <v>4</v>
      </c>
      <c r="C14" s="42" t="str">
        <f>DEC2HEX(B14)</f>
        <v>4</v>
      </c>
      <c r="D14" s="48" t="s">
        <v>20</v>
      </c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4"/>
      <c r="AK14" s="22"/>
      <c r="AL14" s="22"/>
      <c r="AM14" s="22"/>
      <c r="AN14" s="22"/>
      <c r="AO14" s="22"/>
      <c r="AP14" s="22"/>
      <c r="AQ14" s="22"/>
      <c r="AR14" s="22"/>
    </row>
    <row r="15" spans="1:44" ht="14.45" thickBot="1">
      <c r="A15" s="93" t="s">
        <v>95</v>
      </c>
      <c r="B15" s="46"/>
      <c r="C15" s="46"/>
      <c r="D15" s="50">
        <f>COUNTIF(E15:AJ15,"x")</f>
        <v>32</v>
      </c>
      <c r="E15" s="46" t="s">
        <v>87</v>
      </c>
      <c r="F15" s="46" t="s">
        <v>87</v>
      </c>
      <c r="G15" s="46" t="s">
        <v>87</v>
      </c>
      <c r="H15" s="52" t="s">
        <v>87</v>
      </c>
      <c r="I15" s="46" t="s">
        <v>87</v>
      </c>
      <c r="J15" s="46" t="s">
        <v>87</v>
      </c>
      <c r="K15" s="46" t="s">
        <v>87</v>
      </c>
      <c r="L15" s="63" t="s">
        <v>87</v>
      </c>
      <c r="M15" s="46" t="s">
        <v>87</v>
      </c>
      <c r="N15" s="46" t="s">
        <v>87</v>
      </c>
      <c r="O15" s="46" t="s">
        <v>87</v>
      </c>
      <c r="P15" s="52" t="s">
        <v>87</v>
      </c>
      <c r="Q15" s="46" t="s">
        <v>87</v>
      </c>
      <c r="R15" s="46" t="s">
        <v>87</v>
      </c>
      <c r="S15" s="46" t="s">
        <v>87</v>
      </c>
      <c r="T15" s="63" t="s">
        <v>87</v>
      </c>
      <c r="U15" s="46" t="s">
        <v>87</v>
      </c>
      <c r="V15" s="46" t="s">
        <v>87</v>
      </c>
      <c r="W15" s="46" t="s">
        <v>87</v>
      </c>
      <c r="X15" s="52" t="s">
        <v>87</v>
      </c>
      <c r="Y15" s="46" t="s">
        <v>87</v>
      </c>
      <c r="Z15" s="46" t="s">
        <v>87</v>
      </c>
      <c r="AA15" s="46" t="s">
        <v>87</v>
      </c>
      <c r="AB15" s="63" t="s">
        <v>87</v>
      </c>
      <c r="AC15" s="46" t="s">
        <v>87</v>
      </c>
      <c r="AD15" s="46" t="s">
        <v>87</v>
      </c>
      <c r="AE15" s="46" t="s">
        <v>87</v>
      </c>
      <c r="AF15" s="52" t="s">
        <v>87</v>
      </c>
      <c r="AG15" s="46" t="s">
        <v>87</v>
      </c>
      <c r="AH15" s="46" t="s">
        <v>87</v>
      </c>
      <c r="AI15" s="46" t="s">
        <v>87</v>
      </c>
      <c r="AJ15" s="47" t="s">
        <v>87</v>
      </c>
      <c r="AK15" s="40" t="s">
        <v>27</v>
      </c>
      <c r="AL15" s="54">
        <v>0</v>
      </c>
      <c r="AM15" s="54">
        <f>2^D15 - 1</f>
        <v>4294967295</v>
      </c>
      <c r="AN15" s="54">
        <v>1</v>
      </c>
      <c r="AO15" s="54">
        <v>0</v>
      </c>
      <c r="AP15" s="54" t="s">
        <v>88</v>
      </c>
      <c r="AQ15" s="54">
        <v>0</v>
      </c>
      <c r="AR15" s="55" t="s">
        <v>96</v>
      </c>
    </row>
    <row r="16" spans="1:44" ht="15" thickTop="1" thickBot="1"/>
    <row r="17" spans="1:44" ht="14.45" thickTop="1">
      <c r="A17" s="41" t="s">
        <v>97</v>
      </c>
      <c r="B17" s="42">
        <v>8</v>
      </c>
      <c r="C17" s="42" t="str">
        <f>DEC2HEX(B17)</f>
        <v>8</v>
      </c>
      <c r="D17" s="48" t="s">
        <v>20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4"/>
      <c r="AK17" s="22"/>
      <c r="AL17" s="22"/>
      <c r="AM17" s="22"/>
      <c r="AN17" s="22"/>
      <c r="AO17" s="22"/>
      <c r="AP17" s="22"/>
      <c r="AQ17" s="22"/>
      <c r="AR17" s="22"/>
    </row>
    <row r="18" spans="1:44" ht="14.45" thickBot="1">
      <c r="A18" s="93" t="s">
        <v>98</v>
      </c>
      <c r="B18" s="46"/>
      <c r="C18" s="46"/>
      <c r="D18" s="50">
        <f>COUNTIF(E18:AJ18,"x")</f>
        <v>16</v>
      </c>
      <c r="E18" s="46"/>
      <c r="F18" s="46"/>
      <c r="G18" s="46"/>
      <c r="H18" s="52"/>
      <c r="I18" s="46"/>
      <c r="J18" s="46"/>
      <c r="K18" s="46"/>
      <c r="L18" s="63"/>
      <c r="M18" s="46"/>
      <c r="N18" s="46"/>
      <c r="O18" s="46"/>
      <c r="P18" s="52"/>
      <c r="Q18" s="46"/>
      <c r="R18" s="46"/>
      <c r="S18" s="46"/>
      <c r="T18" s="63"/>
      <c r="U18" s="46" t="s">
        <v>87</v>
      </c>
      <c r="V18" s="46" t="s">
        <v>87</v>
      </c>
      <c r="W18" s="46" t="s">
        <v>87</v>
      </c>
      <c r="X18" s="52" t="s">
        <v>87</v>
      </c>
      <c r="Y18" s="46" t="s">
        <v>87</v>
      </c>
      <c r="Z18" s="46" t="s">
        <v>87</v>
      </c>
      <c r="AA18" s="46" t="s">
        <v>87</v>
      </c>
      <c r="AB18" s="63" t="s">
        <v>87</v>
      </c>
      <c r="AC18" s="46" t="s">
        <v>87</v>
      </c>
      <c r="AD18" s="46" t="s">
        <v>87</v>
      </c>
      <c r="AE18" s="46" t="s">
        <v>87</v>
      </c>
      <c r="AF18" s="52" t="s">
        <v>87</v>
      </c>
      <c r="AG18" s="46" t="s">
        <v>87</v>
      </c>
      <c r="AH18" s="46" t="s">
        <v>87</v>
      </c>
      <c r="AI18" s="46" t="s">
        <v>87</v>
      </c>
      <c r="AJ18" s="47" t="s">
        <v>87</v>
      </c>
      <c r="AK18" s="40" t="s">
        <v>27</v>
      </c>
      <c r="AL18" s="54">
        <v>0</v>
      </c>
      <c r="AM18" s="54">
        <f>2^D18 - 1</f>
        <v>65535</v>
      </c>
      <c r="AN18" s="54">
        <v>1</v>
      </c>
      <c r="AO18" s="54">
        <v>0</v>
      </c>
      <c r="AP18" s="54" t="s">
        <v>88</v>
      </c>
      <c r="AQ18" s="54">
        <v>0</v>
      </c>
      <c r="AR18" s="55" t="s">
        <v>99</v>
      </c>
    </row>
    <row r="19" spans="1:44" ht="15" thickTop="1" thickBot="1"/>
    <row r="20" spans="1:44" ht="14.45" thickTop="1">
      <c r="A20" s="41" t="s">
        <v>100</v>
      </c>
      <c r="B20" s="42">
        <v>12</v>
      </c>
      <c r="C20" s="42" t="str">
        <f>DEC2HEX(B20)</f>
        <v>C</v>
      </c>
      <c r="D20" s="48" t="s">
        <v>20</v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4"/>
      <c r="AK20" s="22"/>
      <c r="AL20" s="22"/>
      <c r="AM20" s="22"/>
      <c r="AN20" s="22"/>
      <c r="AO20" s="22"/>
      <c r="AP20" s="22"/>
      <c r="AQ20" s="22"/>
      <c r="AR20" s="22"/>
    </row>
    <row r="21" spans="1:44" ht="14.45" thickBot="1">
      <c r="A21" s="93" t="s">
        <v>101</v>
      </c>
      <c r="B21" s="46"/>
      <c r="C21" s="46"/>
      <c r="D21" s="50">
        <f>COUNTIF(E21:AJ21,"x")</f>
        <v>32</v>
      </c>
      <c r="E21" s="46" t="s">
        <v>87</v>
      </c>
      <c r="F21" s="46" t="s">
        <v>87</v>
      </c>
      <c r="G21" s="46" t="s">
        <v>87</v>
      </c>
      <c r="H21" s="52" t="s">
        <v>87</v>
      </c>
      <c r="I21" s="46" t="s">
        <v>87</v>
      </c>
      <c r="J21" s="46" t="s">
        <v>87</v>
      </c>
      <c r="K21" s="46" t="s">
        <v>87</v>
      </c>
      <c r="L21" s="63" t="s">
        <v>87</v>
      </c>
      <c r="M21" s="46" t="s">
        <v>87</v>
      </c>
      <c r="N21" s="46" t="s">
        <v>87</v>
      </c>
      <c r="O21" s="46" t="s">
        <v>87</v>
      </c>
      <c r="P21" s="52" t="s">
        <v>87</v>
      </c>
      <c r="Q21" s="46" t="s">
        <v>87</v>
      </c>
      <c r="R21" s="46" t="s">
        <v>87</v>
      </c>
      <c r="S21" s="46" t="s">
        <v>87</v>
      </c>
      <c r="T21" s="63" t="s">
        <v>87</v>
      </c>
      <c r="U21" s="46" t="s">
        <v>87</v>
      </c>
      <c r="V21" s="46" t="s">
        <v>87</v>
      </c>
      <c r="W21" s="46" t="s">
        <v>87</v>
      </c>
      <c r="X21" s="52" t="s">
        <v>87</v>
      </c>
      <c r="Y21" s="46" t="s">
        <v>87</v>
      </c>
      <c r="Z21" s="46" t="s">
        <v>87</v>
      </c>
      <c r="AA21" s="46" t="s">
        <v>87</v>
      </c>
      <c r="AB21" s="63" t="s">
        <v>87</v>
      </c>
      <c r="AC21" s="46" t="s">
        <v>87</v>
      </c>
      <c r="AD21" s="46" t="s">
        <v>87</v>
      </c>
      <c r="AE21" s="46" t="s">
        <v>87</v>
      </c>
      <c r="AF21" s="52" t="s">
        <v>87</v>
      </c>
      <c r="AG21" s="46" t="s">
        <v>87</v>
      </c>
      <c r="AH21" s="46" t="s">
        <v>87</v>
      </c>
      <c r="AI21" s="46" t="s">
        <v>87</v>
      </c>
      <c r="AJ21" s="47" t="s">
        <v>87</v>
      </c>
      <c r="AK21" s="40" t="s">
        <v>27</v>
      </c>
      <c r="AL21" s="54">
        <v>0</v>
      </c>
      <c r="AM21" s="54">
        <f>2^D21 - 1</f>
        <v>4294967295</v>
      </c>
      <c r="AN21" s="54">
        <v>1</v>
      </c>
      <c r="AO21" s="54">
        <v>0</v>
      </c>
      <c r="AP21" s="54" t="s">
        <v>88</v>
      </c>
      <c r="AQ21" s="54">
        <v>0</v>
      </c>
      <c r="AR21" s="55" t="s">
        <v>102</v>
      </c>
    </row>
    <row r="22" spans="1:44" ht="15" thickTop="1" thickBot="1"/>
    <row r="23" spans="1:44" ht="14.45" thickTop="1">
      <c r="A23" s="41" t="s">
        <v>103</v>
      </c>
      <c r="B23" s="42">
        <v>16</v>
      </c>
      <c r="C23" s="42" t="str">
        <f>DEC2HEX(B23)</f>
        <v>10</v>
      </c>
      <c r="D23" s="48" t="s">
        <v>20</v>
      </c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4"/>
      <c r="AK23" s="22"/>
      <c r="AL23" s="22"/>
      <c r="AM23" s="22"/>
      <c r="AN23" s="22"/>
      <c r="AO23" s="22"/>
      <c r="AP23" s="22"/>
      <c r="AQ23" s="22"/>
      <c r="AR23" s="22"/>
    </row>
    <row r="24" spans="1:44" ht="14.45" thickBot="1">
      <c r="A24" s="93" t="s">
        <v>104</v>
      </c>
      <c r="B24" s="46"/>
      <c r="C24" s="46"/>
      <c r="D24" s="50">
        <f>COUNTIF(E24:AJ24,"x")</f>
        <v>32</v>
      </c>
      <c r="E24" s="46" t="s">
        <v>87</v>
      </c>
      <c r="F24" s="46" t="s">
        <v>87</v>
      </c>
      <c r="G24" s="46" t="s">
        <v>87</v>
      </c>
      <c r="H24" s="52" t="s">
        <v>87</v>
      </c>
      <c r="I24" s="46" t="s">
        <v>87</v>
      </c>
      <c r="J24" s="46" t="s">
        <v>87</v>
      </c>
      <c r="K24" s="46" t="s">
        <v>87</v>
      </c>
      <c r="L24" s="63" t="s">
        <v>87</v>
      </c>
      <c r="M24" s="46" t="s">
        <v>87</v>
      </c>
      <c r="N24" s="46" t="s">
        <v>87</v>
      </c>
      <c r="O24" s="46" t="s">
        <v>87</v>
      </c>
      <c r="P24" s="52" t="s">
        <v>87</v>
      </c>
      <c r="Q24" s="46" t="s">
        <v>87</v>
      </c>
      <c r="R24" s="46" t="s">
        <v>87</v>
      </c>
      <c r="S24" s="46" t="s">
        <v>87</v>
      </c>
      <c r="T24" s="63" t="s">
        <v>87</v>
      </c>
      <c r="U24" s="46" t="s">
        <v>87</v>
      </c>
      <c r="V24" s="46" t="s">
        <v>87</v>
      </c>
      <c r="W24" s="46" t="s">
        <v>87</v>
      </c>
      <c r="X24" s="52" t="s">
        <v>87</v>
      </c>
      <c r="Y24" s="46" t="s">
        <v>87</v>
      </c>
      <c r="Z24" s="46" t="s">
        <v>87</v>
      </c>
      <c r="AA24" s="46" t="s">
        <v>87</v>
      </c>
      <c r="AB24" s="63" t="s">
        <v>87</v>
      </c>
      <c r="AC24" s="46" t="s">
        <v>87</v>
      </c>
      <c r="AD24" s="46" t="s">
        <v>87</v>
      </c>
      <c r="AE24" s="46" t="s">
        <v>87</v>
      </c>
      <c r="AF24" s="52" t="s">
        <v>87</v>
      </c>
      <c r="AG24" s="46" t="s">
        <v>87</v>
      </c>
      <c r="AH24" s="46" t="s">
        <v>87</v>
      </c>
      <c r="AI24" s="46" t="s">
        <v>87</v>
      </c>
      <c r="AJ24" s="47" t="s">
        <v>87</v>
      </c>
      <c r="AK24" s="40" t="s">
        <v>27</v>
      </c>
      <c r="AL24" s="54">
        <v>0</v>
      </c>
      <c r="AM24" s="54">
        <f>2^D24 - 1</f>
        <v>4294967295</v>
      </c>
      <c r="AN24" s="54">
        <v>1</v>
      </c>
      <c r="AO24" s="54">
        <v>0</v>
      </c>
      <c r="AP24" s="54" t="s">
        <v>88</v>
      </c>
      <c r="AQ24" s="54">
        <v>4294967295</v>
      </c>
      <c r="AR24" s="55" t="s">
        <v>105</v>
      </c>
    </row>
    <row r="25" spans="1:44" ht="15" thickTop="1" thickBot="1"/>
    <row r="26" spans="1:44" ht="14.45" thickTop="1">
      <c r="A26" s="41" t="s">
        <v>106</v>
      </c>
      <c r="B26" s="42">
        <v>20</v>
      </c>
      <c r="C26" s="42" t="str">
        <f>DEC2HEX(B26)</f>
        <v>14</v>
      </c>
      <c r="D26" s="48" t="s">
        <v>20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4"/>
      <c r="AK26" s="22"/>
      <c r="AL26" s="22"/>
      <c r="AM26" s="22"/>
      <c r="AN26" s="22"/>
      <c r="AO26" s="22"/>
      <c r="AP26" s="22"/>
      <c r="AQ26" s="22"/>
      <c r="AR26" s="22"/>
    </row>
    <row r="27" spans="1:44" ht="14.45" thickBot="1">
      <c r="A27" s="93" t="s">
        <v>107</v>
      </c>
      <c r="B27" s="46"/>
      <c r="C27" s="46"/>
      <c r="D27" s="50">
        <f>COUNTIF(E27:AJ27,"x")</f>
        <v>16</v>
      </c>
      <c r="E27" s="46"/>
      <c r="F27" s="46"/>
      <c r="G27" s="46"/>
      <c r="H27" s="52"/>
      <c r="I27" s="46"/>
      <c r="J27" s="46"/>
      <c r="K27" s="46"/>
      <c r="L27" s="63"/>
      <c r="M27" s="46"/>
      <c r="N27" s="46"/>
      <c r="O27" s="46"/>
      <c r="P27" s="52"/>
      <c r="Q27" s="46"/>
      <c r="R27" s="46"/>
      <c r="S27" s="46"/>
      <c r="T27" s="63"/>
      <c r="U27" s="46" t="s">
        <v>87</v>
      </c>
      <c r="V27" s="46" t="s">
        <v>87</v>
      </c>
      <c r="W27" s="46" t="s">
        <v>87</v>
      </c>
      <c r="X27" s="52" t="s">
        <v>87</v>
      </c>
      <c r="Y27" s="46" t="s">
        <v>87</v>
      </c>
      <c r="Z27" s="46" t="s">
        <v>87</v>
      </c>
      <c r="AA27" s="46" t="s">
        <v>87</v>
      </c>
      <c r="AB27" s="63" t="s">
        <v>87</v>
      </c>
      <c r="AC27" s="46" t="s">
        <v>87</v>
      </c>
      <c r="AD27" s="46" t="s">
        <v>87</v>
      </c>
      <c r="AE27" s="46" t="s">
        <v>87</v>
      </c>
      <c r="AF27" s="52" t="s">
        <v>87</v>
      </c>
      <c r="AG27" s="46" t="s">
        <v>87</v>
      </c>
      <c r="AH27" s="46" t="s">
        <v>87</v>
      </c>
      <c r="AI27" s="46" t="s">
        <v>87</v>
      </c>
      <c r="AJ27" s="47" t="s">
        <v>87</v>
      </c>
      <c r="AK27" s="40" t="s">
        <v>27</v>
      </c>
      <c r="AL27" s="54">
        <v>0</v>
      </c>
      <c r="AM27" s="54">
        <f>2^D27 - 1</f>
        <v>65535</v>
      </c>
      <c r="AN27" s="54">
        <v>1</v>
      </c>
      <c r="AO27" s="54">
        <v>0</v>
      </c>
      <c r="AP27" s="54" t="s">
        <v>88</v>
      </c>
      <c r="AQ27" s="54">
        <v>65535</v>
      </c>
      <c r="AR27" s="55" t="s">
        <v>108</v>
      </c>
    </row>
    <row r="28" spans="1:44" ht="15" thickTop="1" thickBot="1"/>
    <row r="29" spans="1:44" ht="14.45" thickTop="1">
      <c r="A29" s="41" t="s">
        <v>109</v>
      </c>
      <c r="B29" s="42">
        <v>24</v>
      </c>
      <c r="C29" s="42" t="str">
        <f>DEC2HEX(B29)</f>
        <v>18</v>
      </c>
      <c r="D29" s="48" t="s">
        <v>20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4"/>
      <c r="AK29" s="22"/>
      <c r="AL29" s="22"/>
      <c r="AM29" s="22"/>
      <c r="AN29" s="22"/>
      <c r="AO29" s="22"/>
      <c r="AP29" s="22"/>
      <c r="AQ29" s="22"/>
      <c r="AR29" s="22"/>
    </row>
    <row r="30" spans="1:44" ht="14.45" thickBot="1">
      <c r="A30" s="93" t="s">
        <v>110</v>
      </c>
      <c r="B30" s="46"/>
      <c r="C30" s="46"/>
      <c r="D30" s="50">
        <f>COUNTIF(E30:AJ30,"x")</f>
        <v>8</v>
      </c>
      <c r="E30" s="46"/>
      <c r="F30" s="46"/>
      <c r="G30" s="46"/>
      <c r="H30" s="52"/>
      <c r="I30" s="46"/>
      <c r="J30" s="46"/>
      <c r="K30" s="46"/>
      <c r="L30" s="63"/>
      <c r="M30" s="46"/>
      <c r="N30" s="46"/>
      <c r="O30" s="46"/>
      <c r="P30" s="52"/>
      <c r="Q30" s="46"/>
      <c r="R30" s="46"/>
      <c r="S30" s="46"/>
      <c r="T30" s="63"/>
      <c r="U30" s="46"/>
      <c r="V30" s="46"/>
      <c r="W30" s="46"/>
      <c r="X30" s="52"/>
      <c r="Y30" s="46"/>
      <c r="Z30" s="46"/>
      <c r="AA30" s="46"/>
      <c r="AB30" s="63"/>
      <c r="AC30" s="46" t="s">
        <v>87</v>
      </c>
      <c r="AD30" s="46" t="s">
        <v>87</v>
      </c>
      <c r="AE30" s="46" t="s">
        <v>87</v>
      </c>
      <c r="AF30" s="52" t="s">
        <v>87</v>
      </c>
      <c r="AG30" s="46" t="s">
        <v>87</v>
      </c>
      <c r="AH30" s="46" t="s">
        <v>87</v>
      </c>
      <c r="AI30" s="46" t="s">
        <v>87</v>
      </c>
      <c r="AJ30" s="47" t="s">
        <v>87</v>
      </c>
      <c r="AK30" s="40" t="s">
        <v>27</v>
      </c>
      <c r="AL30" s="54">
        <v>0</v>
      </c>
      <c r="AM30" s="54">
        <f>2^D30 - 1</f>
        <v>255</v>
      </c>
      <c r="AN30" s="54">
        <v>1</v>
      </c>
      <c r="AO30" s="54">
        <v>0</v>
      </c>
      <c r="AP30" s="54" t="s">
        <v>88</v>
      </c>
      <c r="AQ30" s="54">
        <v>100</v>
      </c>
      <c r="AR30" s="55" t="s">
        <v>111</v>
      </c>
    </row>
    <row r="31" spans="1:44" ht="15" thickTop="1" thickBot="1"/>
    <row r="32" spans="1:44" ht="14.45" thickTop="1">
      <c r="A32" s="41" t="s">
        <v>112</v>
      </c>
      <c r="B32" s="42">
        <v>28</v>
      </c>
      <c r="C32" s="42" t="str">
        <f>DEC2HEX(B32)</f>
        <v>1C</v>
      </c>
      <c r="D32" s="48" t="s">
        <v>20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4"/>
      <c r="AK32" s="22"/>
      <c r="AL32" s="22"/>
      <c r="AM32" s="22"/>
      <c r="AN32" s="22"/>
      <c r="AO32" s="22"/>
      <c r="AP32" s="22"/>
      <c r="AQ32" s="22"/>
      <c r="AR32" s="22"/>
    </row>
    <row r="33" spans="1:44">
      <c r="A33" s="92" t="s">
        <v>113</v>
      </c>
      <c r="B33" s="22"/>
      <c r="C33" s="22"/>
      <c r="D33" s="49">
        <f>COUNTIF(E33:AJ33,"x")</f>
        <v>1</v>
      </c>
      <c r="E33" s="22"/>
      <c r="F33" s="22"/>
      <c r="G33" s="22"/>
      <c r="H33" s="51"/>
      <c r="I33" s="22"/>
      <c r="J33" s="22"/>
      <c r="K33" s="22"/>
      <c r="L33" s="53"/>
      <c r="M33" s="22"/>
      <c r="N33" s="22"/>
      <c r="O33" s="22"/>
      <c r="P33" s="51"/>
      <c r="Q33" s="22"/>
      <c r="R33" s="22"/>
      <c r="S33" s="22"/>
      <c r="T33" s="53"/>
      <c r="U33" s="22"/>
      <c r="V33" s="22"/>
      <c r="W33" s="22"/>
      <c r="X33" s="51"/>
      <c r="Y33" s="22"/>
      <c r="Z33" s="22"/>
      <c r="AA33" s="22"/>
      <c r="AB33" s="53"/>
      <c r="AC33" s="22"/>
      <c r="AD33" s="22"/>
      <c r="AE33" s="22"/>
      <c r="AF33" s="51"/>
      <c r="AG33" s="22"/>
      <c r="AH33" s="22"/>
      <c r="AI33" s="22"/>
      <c r="AJ33" s="45" t="s">
        <v>87</v>
      </c>
      <c r="AK33" s="40" t="s">
        <v>32</v>
      </c>
      <c r="AL33" s="54">
        <v>0</v>
      </c>
      <c r="AM33" s="54">
        <f>2^D33 - 1</f>
        <v>1</v>
      </c>
      <c r="AN33" s="54">
        <v>1</v>
      </c>
      <c r="AO33" s="54">
        <v>0</v>
      </c>
      <c r="AP33" s="54" t="s">
        <v>88</v>
      </c>
      <c r="AQ33" s="54">
        <v>0</v>
      </c>
      <c r="AR33" s="100" t="s">
        <v>114</v>
      </c>
    </row>
    <row r="34" spans="1:44">
      <c r="A34" s="92" t="s">
        <v>115</v>
      </c>
      <c r="B34" s="22"/>
      <c r="C34" s="22"/>
      <c r="D34" s="49">
        <f>COUNTIF(E34:AJ34,"x")</f>
        <v>1</v>
      </c>
      <c r="E34" s="22"/>
      <c r="F34" s="22"/>
      <c r="G34" s="22"/>
      <c r="H34" s="51"/>
      <c r="I34" s="22"/>
      <c r="J34" s="22"/>
      <c r="K34" s="22"/>
      <c r="L34" s="53"/>
      <c r="M34" s="22"/>
      <c r="N34" s="22"/>
      <c r="O34" s="22"/>
      <c r="P34" s="51"/>
      <c r="Q34" s="22"/>
      <c r="R34" s="22"/>
      <c r="S34" s="22"/>
      <c r="T34" s="53"/>
      <c r="U34" s="22"/>
      <c r="V34" s="22"/>
      <c r="W34" s="22"/>
      <c r="X34" s="51"/>
      <c r="Y34" s="22"/>
      <c r="Z34" s="22"/>
      <c r="AA34" s="22"/>
      <c r="AB34" s="53"/>
      <c r="AC34" s="22"/>
      <c r="AD34" s="22"/>
      <c r="AE34" s="22"/>
      <c r="AF34" s="51"/>
      <c r="AG34" s="22"/>
      <c r="AH34" s="22"/>
      <c r="AI34" s="22" t="s">
        <v>87</v>
      </c>
      <c r="AJ34" s="45"/>
      <c r="AK34" s="40" t="s">
        <v>32</v>
      </c>
      <c r="AL34" s="54">
        <v>0</v>
      </c>
      <c r="AM34" s="54">
        <f>2^D34 - 1</f>
        <v>1</v>
      </c>
      <c r="AN34" s="54">
        <v>1</v>
      </c>
      <c r="AO34" s="54">
        <v>0</v>
      </c>
      <c r="AP34" s="54" t="s">
        <v>88</v>
      </c>
      <c r="AQ34" s="54">
        <v>0</v>
      </c>
      <c r="AR34" s="100" t="s">
        <v>116</v>
      </c>
    </row>
    <row r="35" spans="1:44" ht="14.45" thickBot="1">
      <c r="A35" s="93" t="s">
        <v>117</v>
      </c>
      <c r="B35" s="46"/>
      <c r="C35" s="46"/>
      <c r="D35" s="50">
        <f>COUNTIF(E35:AJ35,"x")</f>
        <v>1</v>
      </c>
      <c r="E35" s="46"/>
      <c r="F35" s="46"/>
      <c r="G35" s="46"/>
      <c r="H35" s="52"/>
      <c r="I35" s="46"/>
      <c r="J35" s="46"/>
      <c r="K35" s="46"/>
      <c r="L35" s="63"/>
      <c r="M35" s="46"/>
      <c r="N35" s="46"/>
      <c r="O35" s="46"/>
      <c r="P35" s="52"/>
      <c r="Q35" s="46"/>
      <c r="R35" s="46"/>
      <c r="S35" s="46"/>
      <c r="T35" s="63"/>
      <c r="U35" s="46"/>
      <c r="V35" s="46"/>
      <c r="W35" s="46"/>
      <c r="X35" s="52"/>
      <c r="Y35" s="46"/>
      <c r="Z35" s="46"/>
      <c r="AA35" s="46"/>
      <c r="AB35" s="63"/>
      <c r="AC35" s="46"/>
      <c r="AD35" s="46"/>
      <c r="AE35" s="46"/>
      <c r="AF35" s="52"/>
      <c r="AG35" s="46"/>
      <c r="AH35" s="46" t="s">
        <v>87</v>
      </c>
      <c r="AI35" s="46"/>
      <c r="AJ35" s="47"/>
      <c r="AK35" s="40" t="s">
        <v>32</v>
      </c>
      <c r="AL35" s="54">
        <v>0</v>
      </c>
      <c r="AM35" s="54">
        <f>2^D35 - 1</f>
        <v>1</v>
      </c>
      <c r="AN35" s="54">
        <v>1</v>
      </c>
      <c r="AO35" s="54">
        <v>0</v>
      </c>
      <c r="AP35" s="54" t="s">
        <v>88</v>
      </c>
      <c r="AQ35" s="54">
        <v>0</v>
      </c>
      <c r="AR35" s="100" t="s">
        <v>118</v>
      </c>
    </row>
    <row r="36" spans="1:44" ht="15" thickTop="1" thickBot="1"/>
    <row r="37" spans="1:44" ht="14.45" thickTop="1">
      <c r="A37" s="41" t="s">
        <v>119</v>
      </c>
      <c r="B37" s="42">
        <v>32</v>
      </c>
      <c r="C37" s="42" t="str">
        <f>DEC2HEX(B37)</f>
        <v>20</v>
      </c>
      <c r="D37" s="48" t="s">
        <v>20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4"/>
      <c r="AK37" s="22"/>
      <c r="AL37" s="22"/>
      <c r="AM37" s="22"/>
      <c r="AN37" s="22"/>
      <c r="AO37" s="22"/>
      <c r="AP37" s="22"/>
      <c r="AQ37" s="22"/>
      <c r="AR37" s="22"/>
    </row>
    <row r="38" spans="1:44">
      <c r="A38" s="92" t="s">
        <v>120</v>
      </c>
      <c r="B38" s="22"/>
      <c r="C38" s="22"/>
      <c r="D38" s="49">
        <f>COUNTIF(E38:AJ38,"x")</f>
        <v>28</v>
      </c>
      <c r="E38" s="22"/>
      <c r="F38" s="22"/>
      <c r="G38" s="22"/>
      <c r="H38" s="51"/>
      <c r="I38" s="22" t="s">
        <v>87</v>
      </c>
      <c r="J38" s="22" t="s">
        <v>87</v>
      </c>
      <c r="K38" s="22" t="s">
        <v>87</v>
      </c>
      <c r="L38" s="53" t="s">
        <v>87</v>
      </c>
      <c r="M38" s="22" t="s">
        <v>87</v>
      </c>
      <c r="N38" s="22" t="s">
        <v>87</v>
      </c>
      <c r="O38" s="22" t="s">
        <v>87</v>
      </c>
      <c r="P38" s="51" t="s">
        <v>87</v>
      </c>
      <c r="Q38" s="22" t="s">
        <v>87</v>
      </c>
      <c r="R38" s="22" t="s">
        <v>87</v>
      </c>
      <c r="S38" s="22" t="s">
        <v>87</v>
      </c>
      <c r="T38" s="53" t="s">
        <v>87</v>
      </c>
      <c r="U38" s="22" t="s">
        <v>87</v>
      </c>
      <c r="V38" s="22" t="s">
        <v>87</v>
      </c>
      <c r="W38" s="22" t="s">
        <v>87</v>
      </c>
      <c r="X38" s="51" t="s">
        <v>87</v>
      </c>
      <c r="Y38" s="22" t="s">
        <v>87</v>
      </c>
      <c r="Z38" s="22" t="s">
        <v>87</v>
      </c>
      <c r="AA38" s="22" t="s">
        <v>87</v>
      </c>
      <c r="AB38" s="53" t="s">
        <v>87</v>
      </c>
      <c r="AC38" s="22" t="s">
        <v>87</v>
      </c>
      <c r="AD38" s="22" t="s">
        <v>87</v>
      </c>
      <c r="AE38" s="22" t="s">
        <v>87</v>
      </c>
      <c r="AF38" s="51" t="s">
        <v>87</v>
      </c>
      <c r="AG38" s="22" t="s">
        <v>87</v>
      </c>
      <c r="AH38" s="22" t="s">
        <v>87</v>
      </c>
      <c r="AI38" s="22" t="s">
        <v>87</v>
      </c>
      <c r="AJ38" s="45" t="s">
        <v>87</v>
      </c>
      <c r="AK38" s="40" t="s">
        <v>27</v>
      </c>
      <c r="AL38" s="54">
        <v>0</v>
      </c>
      <c r="AM38" s="54">
        <f>2^D38 - 1</f>
        <v>268435455</v>
      </c>
      <c r="AN38" s="54">
        <v>1</v>
      </c>
      <c r="AO38" s="54">
        <v>0</v>
      </c>
      <c r="AP38" s="54" t="s">
        <v>88</v>
      </c>
      <c r="AQ38" s="54">
        <v>0</v>
      </c>
      <c r="AR38" s="100" t="s">
        <v>121</v>
      </c>
    </row>
    <row r="39" spans="1:44" ht="14.45" thickBot="1">
      <c r="A39" s="93" t="s">
        <v>122</v>
      </c>
      <c r="B39" s="46"/>
      <c r="C39" s="46"/>
      <c r="D39" s="50">
        <f>COUNTIF(E39:AJ39,"x")</f>
        <v>1</v>
      </c>
      <c r="E39" s="46"/>
      <c r="F39" s="46"/>
      <c r="G39" s="46"/>
      <c r="H39" s="52" t="s">
        <v>87</v>
      </c>
      <c r="I39" s="46"/>
      <c r="J39" s="46"/>
      <c r="K39" s="46"/>
      <c r="L39" s="63"/>
      <c r="M39" s="46"/>
      <c r="N39" s="46"/>
      <c r="O39" s="46"/>
      <c r="P39" s="52"/>
      <c r="Q39" s="46"/>
      <c r="R39" s="46"/>
      <c r="S39" s="46"/>
      <c r="T39" s="63"/>
      <c r="U39" s="46"/>
      <c r="V39" s="46"/>
      <c r="W39" s="46"/>
      <c r="X39" s="52"/>
      <c r="Y39" s="46"/>
      <c r="Z39" s="46"/>
      <c r="AA39" s="46"/>
      <c r="AB39" s="63"/>
      <c r="AC39" s="46"/>
      <c r="AD39" s="46"/>
      <c r="AE39" s="46"/>
      <c r="AF39" s="52"/>
      <c r="AG39" s="46"/>
      <c r="AH39" s="46"/>
      <c r="AI39" s="46"/>
      <c r="AJ39" s="47"/>
      <c r="AK39" s="40" t="s">
        <v>27</v>
      </c>
      <c r="AL39" s="54">
        <v>0</v>
      </c>
      <c r="AM39" s="54">
        <f>2^D39 - 1</f>
        <v>1</v>
      </c>
      <c r="AN39" s="54">
        <v>1</v>
      </c>
      <c r="AO39" s="54">
        <v>0</v>
      </c>
      <c r="AP39" s="54" t="s">
        <v>88</v>
      </c>
      <c r="AQ39" s="54">
        <v>0</v>
      </c>
      <c r="AR39" s="100" t="s">
        <v>123</v>
      </c>
    </row>
    <row r="40" spans="1:44" ht="15" thickTop="1" thickBot="1"/>
    <row r="41" spans="1:44" ht="14.45" thickTop="1">
      <c r="A41" s="41" t="s">
        <v>124</v>
      </c>
      <c r="B41" s="42">
        <v>36</v>
      </c>
      <c r="C41" s="42" t="str">
        <f>DEC2HEX(B41)</f>
        <v>24</v>
      </c>
      <c r="D41" s="48" t="s">
        <v>20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4"/>
      <c r="AK41" s="22"/>
      <c r="AL41" s="22"/>
      <c r="AM41" s="22"/>
      <c r="AN41" s="22"/>
      <c r="AO41" s="22"/>
      <c r="AP41" s="22"/>
      <c r="AQ41" s="22"/>
      <c r="AR41" s="22"/>
    </row>
    <row r="42" spans="1:44">
      <c r="A42" s="92" t="s">
        <v>125</v>
      </c>
      <c r="B42" s="22"/>
      <c r="C42" s="22"/>
      <c r="D42" s="49">
        <f>COUNTIF(E42:AJ42,"x")</f>
        <v>28</v>
      </c>
      <c r="E42" s="22"/>
      <c r="F42" s="22"/>
      <c r="G42" s="22"/>
      <c r="H42" s="51"/>
      <c r="I42" s="22" t="s">
        <v>87</v>
      </c>
      <c r="J42" s="22" t="s">
        <v>87</v>
      </c>
      <c r="K42" s="22" t="s">
        <v>87</v>
      </c>
      <c r="L42" s="53" t="s">
        <v>87</v>
      </c>
      <c r="M42" s="22" t="s">
        <v>87</v>
      </c>
      <c r="N42" s="22" t="s">
        <v>87</v>
      </c>
      <c r="O42" s="22" t="s">
        <v>87</v>
      </c>
      <c r="P42" s="51" t="s">
        <v>87</v>
      </c>
      <c r="Q42" s="22" t="s">
        <v>87</v>
      </c>
      <c r="R42" s="22" t="s">
        <v>87</v>
      </c>
      <c r="S42" s="22" t="s">
        <v>87</v>
      </c>
      <c r="T42" s="53" t="s">
        <v>87</v>
      </c>
      <c r="U42" s="22" t="s">
        <v>87</v>
      </c>
      <c r="V42" s="22" t="s">
        <v>87</v>
      </c>
      <c r="W42" s="22" t="s">
        <v>87</v>
      </c>
      <c r="X42" s="51" t="s">
        <v>87</v>
      </c>
      <c r="Y42" s="22" t="s">
        <v>87</v>
      </c>
      <c r="Z42" s="22" t="s">
        <v>87</v>
      </c>
      <c r="AA42" s="22" t="s">
        <v>87</v>
      </c>
      <c r="AB42" s="53" t="s">
        <v>87</v>
      </c>
      <c r="AC42" s="22" t="s">
        <v>87</v>
      </c>
      <c r="AD42" s="22" t="s">
        <v>87</v>
      </c>
      <c r="AE42" s="22" t="s">
        <v>87</v>
      </c>
      <c r="AF42" s="51" t="s">
        <v>87</v>
      </c>
      <c r="AG42" s="22" t="s">
        <v>87</v>
      </c>
      <c r="AH42" s="22" t="s">
        <v>87</v>
      </c>
      <c r="AI42" s="22" t="s">
        <v>87</v>
      </c>
      <c r="AJ42" s="45" t="s">
        <v>87</v>
      </c>
      <c r="AK42" s="40" t="s">
        <v>27</v>
      </c>
      <c r="AL42" s="54">
        <v>0</v>
      </c>
      <c r="AM42" s="54">
        <f>2^D42 - 1</f>
        <v>268435455</v>
      </c>
      <c r="AN42" s="54">
        <v>1</v>
      </c>
      <c r="AO42" s="54">
        <v>0</v>
      </c>
      <c r="AP42" s="54" t="s">
        <v>88</v>
      </c>
      <c r="AQ42" s="54">
        <v>0</v>
      </c>
      <c r="AR42" s="100" t="s">
        <v>126</v>
      </c>
    </row>
    <row r="43" spans="1:44" ht="14.45" thickBot="1">
      <c r="A43" s="93" t="s">
        <v>127</v>
      </c>
      <c r="B43" s="46"/>
      <c r="C43" s="46"/>
      <c r="D43" s="50">
        <f>COUNTIF(E43:AJ43,"x")</f>
        <v>1</v>
      </c>
      <c r="E43" s="46"/>
      <c r="F43" s="46"/>
      <c r="G43" s="46"/>
      <c r="H43" s="52" t="s">
        <v>87</v>
      </c>
      <c r="I43" s="46"/>
      <c r="J43" s="46"/>
      <c r="K43" s="46"/>
      <c r="L43" s="63"/>
      <c r="M43" s="46"/>
      <c r="N43" s="46"/>
      <c r="O43" s="46"/>
      <c r="P43" s="52"/>
      <c r="Q43" s="46"/>
      <c r="R43" s="46"/>
      <c r="S43" s="46"/>
      <c r="T43" s="63"/>
      <c r="U43" s="46"/>
      <c r="V43" s="46"/>
      <c r="W43" s="46"/>
      <c r="X43" s="52"/>
      <c r="Y43" s="46"/>
      <c r="Z43" s="46"/>
      <c r="AA43" s="46"/>
      <c r="AB43" s="63"/>
      <c r="AC43" s="46"/>
      <c r="AD43" s="46"/>
      <c r="AE43" s="46"/>
      <c r="AF43" s="52"/>
      <c r="AG43" s="46"/>
      <c r="AH43" s="46"/>
      <c r="AI43" s="46"/>
      <c r="AJ43" s="47"/>
      <c r="AK43" s="40" t="s">
        <v>27</v>
      </c>
      <c r="AL43" s="54">
        <v>0</v>
      </c>
      <c r="AM43" s="54">
        <f>2^D43 - 1</f>
        <v>1</v>
      </c>
      <c r="AN43" s="54">
        <v>1</v>
      </c>
      <c r="AO43" s="54">
        <v>0</v>
      </c>
      <c r="AP43" s="54" t="s">
        <v>88</v>
      </c>
      <c r="AQ43" s="54">
        <v>0</v>
      </c>
      <c r="AR43" s="100" t="s">
        <v>128</v>
      </c>
    </row>
    <row r="44" spans="1:44" ht="15" thickTop="1" thickBot="1"/>
    <row r="45" spans="1:44" ht="14.45" thickTop="1">
      <c r="A45" s="41" t="s">
        <v>129</v>
      </c>
      <c r="B45" s="42">
        <v>40</v>
      </c>
      <c r="C45" s="42" t="str">
        <f>DEC2HEX(B45)</f>
        <v>28</v>
      </c>
      <c r="D45" s="48" t="s">
        <v>20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4"/>
      <c r="AK45" s="22"/>
      <c r="AL45" s="22"/>
      <c r="AM45" s="22"/>
      <c r="AN45" s="22"/>
      <c r="AO45" s="22"/>
      <c r="AP45" s="22"/>
      <c r="AQ45" s="22"/>
      <c r="AR45" s="22"/>
    </row>
    <row r="46" spans="1:44">
      <c r="A46" s="92" t="s">
        <v>130</v>
      </c>
      <c r="B46" s="22"/>
      <c r="C46" s="22"/>
      <c r="D46" s="49">
        <f>COUNTIF(E46:AJ46,"x")</f>
        <v>28</v>
      </c>
      <c r="E46" s="22"/>
      <c r="F46" s="22"/>
      <c r="G46" s="22"/>
      <c r="H46" s="51"/>
      <c r="I46" s="22" t="s">
        <v>87</v>
      </c>
      <c r="J46" s="22" t="s">
        <v>87</v>
      </c>
      <c r="K46" s="22" t="s">
        <v>87</v>
      </c>
      <c r="L46" s="53" t="s">
        <v>87</v>
      </c>
      <c r="M46" s="22" t="s">
        <v>87</v>
      </c>
      <c r="N46" s="22" t="s">
        <v>87</v>
      </c>
      <c r="O46" s="22" t="s">
        <v>87</v>
      </c>
      <c r="P46" s="51" t="s">
        <v>87</v>
      </c>
      <c r="Q46" s="22" t="s">
        <v>87</v>
      </c>
      <c r="R46" s="22" t="s">
        <v>87</v>
      </c>
      <c r="S46" s="22" t="s">
        <v>87</v>
      </c>
      <c r="T46" s="53" t="s">
        <v>87</v>
      </c>
      <c r="U46" s="22" t="s">
        <v>87</v>
      </c>
      <c r="V46" s="22" t="s">
        <v>87</v>
      </c>
      <c r="W46" s="22" t="s">
        <v>87</v>
      </c>
      <c r="X46" s="51" t="s">
        <v>87</v>
      </c>
      <c r="Y46" s="22" t="s">
        <v>87</v>
      </c>
      <c r="Z46" s="22" t="s">
        <v>87</v>
      </c>
      <c r="AA46" s="22" t="s">
        <v>87</v>
      </c>
      <c r="AB46" s="53" t="s">
        <v>87</v>
      </c>
      <c r="AC46" s="22" t="s">
        <v>87</v>
      </c>
      <c r="AD46" s="22" t="s">
        <v>87</v>
      </c>
      <c r="AE46" s="22" t="s">
        <v>87</v>
      </c>
      <c r="AF46" s="51" t="s">
        <v>87</v>
      </c>
      <c r="AG46" s="22" t="s">
        <v>87</v>
      </c>
      <c r="AH46" s="22" t="s">
        <v>87</v>
      </c>
      <c r="AI46" s="22" t="s">
        <v>87</v>
      </c>
      <c r="AJ46" s="45" t="s">
        <v>87</v>
      </c>
      <c r="AK46" s="40" t="s">
        <v>27</v>
      </c>
      <c r="AL46" s="54">
        <v>0</v>
      </c>
      <c r="AM46" s="54">
        <f>2^D46 - 1</f>
        <v>268435455</v>
      </c>
      <c r="AN46" s="54">
        <v>1</v>
      </c>
      <c r="AO46" s="54">
        <v>0</v>
      </c>
      <c r="AP46" s="54" t="s">
        <v>88</v>
      </c>
      <c r="AQ46" s="54">
        <v>0</v>
      </c>
      <c r="AR46" s="100" t="s">
        <v>131</v>
      </c>
    </row>
    <row r="47" spans="1:44" ht="14.45" thickBot="1">
      <c r="A47" s="93" t="s">
        <v>132</v>
      </c>
      <c r="B47" s="46"/>
      <c r="C47" s="46"/>
      <c r="D47" s="50">
        <f>COUNTIF(E47:AJ47,"x")</f>
        <v>1</v>
      </c>
      <c r="E47" s="46"/>
      <c r="F47" s="46"/>
      <c r="G47" s="46"/>
      <c r="H47" s="52" t="s">
        <v>87</v>
      </c>
      <c r="I47" s="46"/>
      <c r="J47" s="46"/>
      <c r="K47" s="46"/>
      <c r="L47" s="63"/>
      <c r="M47" s="46"/>
      <c r="N47" s="46"/>
      <c r="O47" s="46"/>
      <c r="P47" s="52"/>
      <c r="Q47" s="46"/>
      <c r="R47" s="46"/>
      <c r="S47" s="46"/>
      <c r="T47" s="63"/>
      <c r="U47" s="46"/>
      <c r="V47" s="46"/>
      <c r="W47" s="46"/>
      <c r="X47" s="52"/>
      <c r="Y47" s="46"/>
      <c r="Z47" s="46"/>
      <c r="AA47" s="46"/>
      <c r="AB47" s="63"/>
      <c r="AC47" s="46"/>
      <c r="AD47" s="46"/>
      <c r="AE47" s="46"/>
      <c r="AF47" s="52"/>
      <c r="AG47" s="46"/>
      <c r="AH47" s="46"/>
      <c r="AI47" s="46"/>
      <c r="AJ47" s="47"/>
      <c r="AK47" s="40" t="s">
        <v>27</v>
      </c>
      <c r="AL47" s="54">
        <v>0</v>
      </c>
      <c r="AM47" s="54">
        <f>2^D47 - 1</f>
        <v>1</v>
      </c>
      <c r="AN47" s="54">
        <v>1</v>
      </c>
      <c r="AO47" s="54">
        <v>0</v>
      </c>
      <c r="AP47" s="54" t="s">
        <v>88</v>
      </c>
      <c r="AQ47" s="54">
        <v>0</v>
      </c>
      <c r="AR47" s="100" t="s">
        <v>133</v>
      </c>
    </row>
    <row r="48" spans="1:44" ht="15" thickTop="1" thickBot="1"/>
    <row r="49" spans="1:44" ht="14.45" thickTop="1">
      <c r="A49" s="41" t="s">
        <v>134</v>
      </c>
      <c r="B49" s="42">
        <v>44</v>
      </c>
      <c r="C49" s="42" t="str">
        <f>DEC2HEX(B49)</f>
        <v>2C</v>
      </c>
      <c r="D49" s="48" t="s">
        <v>20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4"/>
      <c r="AK49" s="22"/>
      <c r="AL49" s="22"/>
      <c r="AM49" s="22"/>
      <c r="AN49" s="22"/>
      <c r="AO49" s="22"/>
      <c r="AP49" s="22"/>
      <c r="AQ49" s="22"/>
      <c r="AR49" s="22"/>
    </row>
    <row r="50" spans="1:44">
      <c r="A50" s="92" t="s">
        <v>135</v>
      </c>
      <c r="B50" s="22"/>
      <c r="C50" s="22"/>
      <c r="D50" s="49">
        <f>COUNTIF(E50:AJ50,"x")</f>
        <v>28</v>
      </c>
      <c r="E50" s="22"/>
      <c r="F50" s="22"/>
      <c r="G50" s="22"/>
      <c r="H50" s="51"/>
      <c r="I50" s="22" t="s">
        <v>87</v>
      </c>
      <c r="J50" s="22" t="s">
        <v>87</v>
      </c>
      <c r="K50" s="22" t="s">
        <v>87</v>
      </c>
      <c r="L50" s="53" t="s">
        <v>87</v>
      </c>
      <c r="M50" s="22" t="s">
        <v>87</v>
      </c>
      <c r="N50" s="22" t="s">
        <v>87</v>
      </c>
      <c r="O50" s="22" t="s">
        <v>87</v>
      </c>
      <c r="P50" s="51" t="s">
        <v>87</v>
      </c>
      <c r="Q50" s="22" t="s">
        <v>87</v>
      </c>
      <c r="R50" s="22" t="s">
        <v>87</v>
      </c>
      <c r="S50" s="22" t="s">
        <v>87</v>
      </c>
      <c r="T50" s="53" t="s">
        <v>87</v>
      </c>
      <c r="U50" s="22" t="s">
        <v>87</v>
      </c>
      <c r="V50" s="22" t="s">
        <v>87</v>
      </c>
      <c r="W50" s="22" t="s">
        <v>87</v>
      </c>
      <c r="X50" s="51" t="s">
        <v>87</v>
      </c>
      <c r="Y50" s="22" t="s">
        <v>87</v>
      </c>
      <c r="Z50" s="22" t="s">
        <v>87</v>
      </c>
      <c r="AA50" s="22" t="s">
        <v>87</v>
      </c>
      <c r="AB50" s="53" t="s">
        <v>87</v>
      </c>
      <c r="AC50" s="22" t="s">
        <v>87</v>
      </c>
      <c r="AD50" s="22" t="s">
        <v>87</v>
      </c>
      <c r="AE50" s="22" t="s">
        <v>87</v>
      </c>
      <c r="AF50" s="51" t="s">
        <v>87</v>
      </c>
      <c r="AG50" s="22" t="s">
        <v>87</v>
      </c>
      <c r="AH50" s="22" t="s">
        <v>87</v>
      </c>
      <c r="AI50" s="22" t="s">
        <v>87</v>
      </c>
      <c r="AJ50" s="45" t="s">
        <v>87</v>
      </c>
      <c r="AK50" s="40" t="s">
        <v>27</v>
      </c>
      <c r="AL50" s="54">
        <v>0</v>
      </c>
      <c r="AM50" s="54">
        <f>2^D50 - 1</f>
        <v>268435455</v>
      </c>
      <c r="AN50" s="54">
        <v>1</v>
      </c>
      <c r="AO50" s="54">
        <v>0</v>
      </c>
      <c r="AP50" s="54" t="s">
        <v>88</v>
      </c>
      <c r="AQ50" s="54">
        <v>0</v>
      </c>
      <c r="AR50" s="100" t="s">
        <v>136</v>
      </c>
    </row>
    <row r="51" spans="1:44" ht="14.45" thickBot="1">
      <c r="A51" s="93" t="s">
        <v>137</v>
      </c>
      <c r="B51" s="46"/>
      <c r="C51" s="46"/>
      <c r="D51" s="50">
        <f>COUNTIF(E51:AJ51,"x")</f>
        <v>1</v>
      </c>
      <c r="E51" s="46"/>
      <c r="F51" s="46"/>
      <c r="G51" s="46"/>
      <c r="H51" s="52" t="s">
        <v>87</v>
      </c>
      <c r="I51" s="46"/>
      <c r="J51" s="46"/>
      <c r="K51" s="46"/>
      <c r="L51" s="63"/>
      <c r="M51" s="46"/>
      <c r="N51" s="46"/>
      <c r="O51" s="46"/>
      <c r="P51" s="52"/>
      <c r="Q51" s="46"/>
      <c r="R51" s="46"/>
      <c r="S51" s="46"/>
      <c r="T51" s="63"/>
      <c r="U51" s="46"/>
      <c r="V51" s="46"/>
      <c r="W51" s="46"/>
      <c r="X51" s="52"/>
      <c r="Y51" s="46"/>
      <c r="Z51" s="46"/>
      <c r="AA51" s="46"/>
      <c r="AB51" s="63"/>
      <c r="AC51" s="46"/>
      <c r="AD51" s="46"/>
      <c r="AE51" s="46"/>
      <c r="AF51" s="52"/>
      <c r="AG51" s="46"/>
      <c r="AH51" s="46"/>
      <c r="AI51" s="46"/>
      <c r="AJ51" s="47"/>
      <c r="AK51" s="40" t="s">
        <v>27</v>
      </c>
      <c r="AL51" s="54">
        <v>0</v>
      </c>
      <c r="AM51" s="54">
        <f>2^D51 - 1</f>
        <v>1</v>
      </c>
      <c r="AN51" s="54">
        <v>1</v>
      </c>
      <c r="AO51" s="54">
        <v>0</v>
      </c>
      <c r="AP51" s="54" t="s">
        <v>88</v>
      </c>
      <c r="AQ51" s="54">
        <v>0</v>
      </c>
      <c r="AR51" s="100" t="s">
        <v>138</v>
      </c>
    </row>
    <row r="52" spans="1:44" ht="15" thickTop="1" thickBot="1"/>
    <row r="53" spans="1:44" ht="14.45" thickTop="1">
      <c r="A53" s="41" t="s">
        <v>139</v>
      </c>
      <c r="B53" s="42">
        <v>48</v>
      </c>
      <c r="C53" s="42" t="str">
        <f>DEC2HEX(B53)</f>
        <v>30</v>
      </c>
      <c r="D53" s="48" t="s">
        <v>20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4"/>
      <c r="AK53" s="22"/>
      <c r="AL53" s="22"/>
      <c r="AM53" s="22"/>
      <c r="AN53" s="22"/>
      <c r="AO53" s="22"/>
      <c r="AP53" s="22"/>
      <c r="AQ53" s="22"/>
      <c r="AR53" s="22"/>
    </row>
    <row r="54" spans="1:44">
      <c r="A54" s="92" t="s">
        <v>140</v>
      </c>
      <c r="B54" s="22"/>
      <c r="C54" s="22"/>
      <c r="D54" s="49">
        <f t="shared" ref="D54:D59" si="0">COUNTIF(E54:AJ54,"x")</f>
        <v>12</v>
      </c>
      <c r="E54" s="22"/>
      <c r="F54" s="22"/>
      <c r="G54" s="22"/>
      <c r="H54" s="51"/>
      <c r="I54" s="22"/>
      <c r="J54" s="22"/>
      <c r="K54" s="22"/>
      <c r="L54" s="53"/>
      <c r="M54" s="22"/>
      <c r="N54" s="22"/>
      <c r="O54" s="22"/>
      <c r="P54" s="51"/>
      <c r="Q54" s="22"/>
      <c r="R54" s="22"/>
      <c r="S54" s="22"/>
      <c r="T54" s="53"/>
      <c r="U54" s="22"/>
      <c r="V54" s="22"/>
      <c r="W54" s="22"/>
      <c r="X54" s="51"/>
      <c r="Y54" s="22" t="s">
        <v>87</v>
      </c>
      <c r="Z54" s="22" t="s">
        <v>87</v>
      </c>
      <c r="AA54" s="22" t="s">
        <v>87</v>
      </c>
      <c r="AB54" s="53" t="s">
        <v>87</v>
      </c>
      <c r="AC54" s="22" t="s">
        <v>87</v>
      </c>
      <c r="AD54" s="22" t="s">
        <v>87</v>
      </c>
      <c r="AE54" s="22" t="s">
        <v>87</v>
      </c>
      <c r="AF54" s="51" t="s">
        <v>87</v>
      </c>
      <c r="AG54" s="22" t="s">
        <v>87</v>
      </c>
      <c r="AH54" s="22" t="s">
        <v>87</v>
      </c>
      <c r="AI54" s="22" t="s">
        <v>87</v>
      </c>
      <c r="AJ54" s="45" t="s">
        <v>87</v>
      </c>
      <c r="AK54" s="40" t="s">
        <v>27</v>
      </c>
      <c r="AL54" s="54">
        <v>0</v>
      </c>
      <c r="AM54" s="54">
        <f t="shared" ref="AM54:AM59" si="1">2^D54 - 1</f>
        <v>4095</v>
      </c>
      <c r="AN54" s="54">
        <v>1</v>
      </c>
      <c r="AO54" s="54">
        <v>0</v>
      </c>
      <c r="AP54" s="54" t="s">
        <v>88</v>
      </c>
      <c r="AQ54" s="54">
        <v>1000</v>
      </c>
      <c r="AR54" s="100" t="s">
        <v>141</v>
      </c>
    </row>
    <row r="55" spans="1:44">
      <c r="A55" s="92" t="s">
        <v>142</v>
      </c>
      <c r="B55" s="22"/>
      <c r="C55" s="22"/>
      <c r="D55" s="49">
        <f t="shared" si="0"/>
        <v>4</v>
      </c>
      <c r="E55" s="22"/>
      <c r="F55" s="22"/>
      <c r="G55" s="22"/>
      <c r="H55" s="51"/>
      <c r="I55" s="22"/>
      <c r="J55" s="22"/>
      <c r="K55" s="22"/>
      <c r="L55" s="53"/>
      <c r="M55" s="22"/>
      <c r="N55" s="22"/>
      <c r="O55" s="22"/>
      <c r="P55" s="51"/>
      <c r="Q55" s="22"/>
      <c r="R55" s="22"/>
      <c r="S55" s="22"/>
      <c r="T55" s="53"/>
      <c r="U55" s="22" t="s">
        <v>143</v>
      </c>
      <c r="V55" s="22" t="s">
        <v>143</v>
      </c>
      <c r="W55" s="22" t="s">
        <v>143</v>
      </c>
      <c r="X55" s="51" t="s">
        <v>143</v>
      </c>
      <c r="Y55" s="22"/>
      <c r="Z55" s="22"/>
      <c r="AA55" s="22"/>
      <c r="AB55" s="53"/>
      <c r="AC55" s="22"/>
      <c r="AD55" s="22"/>
      <c r="AE55" s="22"/>
      <c r="AF55" s="51"/>
      <c r="AG55" s="22"/>
      <c r="AH55" s="22"/>
      <c r="AI55" s="22"/>
      <c r="AJ55" s="45"/>
      <c r="AK55" s="40" t="s">
        <v>27</v>
      </c>
      <c r="AL55" s="54">
        <v>0</v>
      </c>
      <c r="AM55" s="54">
        <f t="shared" si="1"/>
        <v>15</v>
      </c>
      <c r="AN55" s="54">
        <v>1</v>
      </c>
      <c r="AO55" s="54">
        <v>0</v>
      </c>
      <c r="AP55" s="54" t="s">
        <v>88</v>
      </c>
      <c r="AQ55" s="54">
        <v>3</v>
      </c>
      <c r="AR55" s="100" t="s">
        <v>144</v>
      </c>
    </row>
    <row r="56" spans="1:44">
      <c r="A56" s="92" t="s">
        <v>145</v>
      </c>
      <c r="B56" s="22"/>
      <c r="C56" s="22"/>
      <c r="D56" s="49">
        <f t="shared" si="0"/>
        <v>1</v>
      </c>
      <c r="E56" s="22"/>
      <c r="F56" s="22"/>
      <c r="G56" s="22"/>
      <c r="H56" s="51"/>
      <c r="I56" s="22"/>
      <c r="J56" s="22"/>
      <c r="K56" s="22"/>
      <c r="L56" s="53"/>
      <c r="M56" s="22"/>
      <c r="N56" s="22"/>
      <c r="O56" s="22"/>
      <c r="P56" s="51"/>
      <c r="Q56" s="22"/>
      <c r="R56" s="22"/>
      <c r="S56" s="22"/>
      <c r="T56" s="53" t="s">
        <v>87</v>
      </c>
      <c r="U56" s="22"/>
      <c r="V56" s="22"/>
      <c r="W56" s="22"/>
      <c r="X56" s="51"/>
      <c r="Y56" s="22"/>
      <c r="Z56" s="22"/>
      <c r="AA56" s="22"/>
      <c r="AB56" s="53"/>
      <c r="AC56" s="22"/>
      <c r="AD56" s="22"/>
      <c r="AE56" s="22"/>
      <c r="AF56" s="51"/>
      <c r="AG56" s="22"/>
      <c r="AH56" s="22"/>
      <c r="AI56" s="22"/>
      <c r="AJ56" s="45"/>
      <c r="AK56" s="40" t="s">
        <v>27</v>
      </c>
      <c r="AL56" s="54">
        <v>0</v>
      </c>
      <c r="AM56" s="54">
        <f t="shared" si="1"/>
        <v>1</v>
      </c>
      <c r="AN56" s="54">
        <v>1</v>
      </c>
      <c r="AO56" s="54">
        <v>0</v>
      </c>
      <c r="AP56" s="54" t="s">
        <v>88</v>
      </c>
      <c r="AQ56" s="54">
        <v>0</v>
      </c>
      <c r="AR56" s="100" t="s">
        <v>146</v>
      </c>
    </row>
    <row r="57" spans="1:44">
      <c r="A57" s="92" t="s">
        <v>147</v>
      </c>
      <c r="B57" s="22"/>
      <c r="C57" s="22"/>
      <c r="D57" s="49">
        <f t="shared" si="0"/>
        <v>2</v>
      </c>
      <c r="E57" s="22"/>
      <c r="F57" s="22"/>
      <c r="G57" s="22"/>
      <c r="H57" s="51"/>
      <c r="I57" s="22"/>
      <c r="J57" s="22"/>
      <c r="K57" s="22"/>
      <c r="L57" s="53"/>
      <c r="M57" s="22"/>
      <c r="N57" s="22"/>
      <c r="O57" s="22"/>
      <c r="P57" s="51"/>
      <c r="Q57" s="22"/>
      <c r="R57" s="22" t="s">
        <v>87</v>
      </c>
      <c r="S57" s="22" t="s">
        <v>87</v>
      </c>
      <c r="T57" s="53"/>
      <c r="U57" s="22"/>
      <c r="V57" s="22"/>
      <c r="W57" s="22"/>
      <c r="X57" s="51"/>
      <c r="Y57" s="22"/>
      <c r="Z57" s="22"/>
      <c r="AA57" s="22"/>
      <c r="AB57" s="53"/>
      <c r="AC57" s="22"/>
      <c r="AD57" s="22"/>
      <c r="AE57" s="22"/>
      <c r="AF57" s="51"/>
      <c r="AG57" s="22"/>
      <c r="AH57" s="22"/>
      <c r="AI57" s="22"/>
      <c r="AJ57" s="45"/>
      <c r="AK57" s="40" t="s">
        <v>27</v>
      </c>
      <c r="AL57" s="54">
        <v>0</v>
      </c>
      <c r="AM57" s="54">
        <f t="shared" si="1"/>
        <v>3</v>
      </c>
      <c r="AN57" s="54">
        <v>1</v>
      </c>
      <c r="AO57" s="54">
        <v>0</v>
      </c>
      <c r="AP57" s="54" t="s">
        <v>88</v>
      </c>
      <c r="AQ57" s="54">
        <v>0</v>
      </c>
      <c r="AR57" s="100" t="s">
        <v>148</v>
      </c>
    </row>
    <row r="58" spans="1:44">
      <c r="A58" s="92" t="s">
        <v>149</v>
      </c>
      <c r="B58" s="22"/>
      <c r="C58" s="22"/>
      <c r="D58" s="49">
        <f t="shared" si="0"/>
        <v>1</v>
      </c>
      <c r="E58" s="22"/>
      <c r="F58" s="22"/>
      <c r="G58" s="22"/>
      <c r="H58" s="51"/>
      <c r="I58" s="22"/>
      <c r="J58" s="22"/>
      <c r="K58" s="22"/>
      <c r="L58" s="53"/>
      <c r="M58" s="22"/>
      <c r="N58" s="22"/>
      <c r="O58" s="22"/>
      <c r="P58" s="51"/>
      <c r="Q58" s="22" t="s">
        <v>87</v>
      </c>
      <c r="R58" s="22"/>
      <c r="S58" s="22"/>
      <c r="T58" s="53"/>
      <c r="U58" s="22"/>
      <c r="V58" s="22"/>
      <c r="W58" s="22"/>
      <c r="X58" s="51"/>
      <c r="Y58" s="22"/>
      <c r="Z58" s="22"/>
      <c r="AA58" s="22"/>
      <c r="AB58" s="53"/>
      <c r="AC58" s="22"/>
      <c r="AD58" s="22"/>
      <c r="AE58" s="22"/>
      <c r="AF58" s="51"/>
      <c r="AG58" s="22"/>
      <c r="AH58" s="22"/>
      <c r="AI58" s="22"/>
      <c r="AJ58" s="45"/>
      <c r="AK58" s="40" t="s">
        <v>27</v>
      </c>
      <c r="AL58" s="54">
        <v>0</v>
      </c>
      <c r="AM58" s="54">
        <f t="shared" si="1"/>
        <v>1</v>
      </c>
      <c r="AN58" s="54">
        <v>1</v>
      </c>
      <c r="AO58" s="54">
        <v>0</v>
      </c>
      <c r="AP58" s="54" t="s">
        <v>88</v>
      </c>
      <c r="AQ58" s="54">
        <v>0</v>
      </c>
      <c r="AR58" s="100" t="s">
        <v>150</v>
      </c>
    </row>
    <row r="59" spans="1:44" ht="14.45" thickBot="1">
      <c r="A59" s="93" t="s">
        <v>151</v>
      </c>
      <c r="B59" s="46"/>
      <c r="C59" s="46"/>
      <c r="D59" s="50">
        <f t="shared" si="0"/>
        <v>1</v>
      </c>
      <c r="E59" s="46"/>
      <c r="F59" s="46"/>
      <c r="G59" s="46"/>
      <c r="H59" s="52"/>
      <c r="I59" s="46"/>
      <c r="J59" s="46"/>
      <c r="K59" s="46"/>
      <c r="L59" s="63"/>
      <c r="M59" s="46"/>
      <c r="N59" s="46"/>
      <c r="O59" s="46"/>
      <c r="P59" s="52" t="s">
        <v>87</v>
      </c>
      <c r="Q59" s="46"/>
      <c r="R59" s="46"/>
      <c r="S59" s="46"/>
      <c r="T59" s="63"/>
      <c r="U59" s="46"/>
      <c r="V59" s="46"/>
      <c r="W59" s="46"/>
      <c r="X59" s="52"/>
      <c r="Y59" s="46"/>
      <c r="Z59" s="46"/>
      <c r="AA59" s="46"/>
      <c r="AB59" s="63"/>
      <c r="AC59" s="46"/>
      <c r="AD59" s="46"/>
      <c r="AE59" s="46"/>
      <c r="AF59" s="52"/>
      <c r="AG59" s="46"/>
      <c r="AH59" s="46"/>
      <c r="AI59" s="46"/>
      <c r="AJ59" s="47"/>
      <c r="AK59" s="40" t="s">
        <v>27</v>
      </c>
      <c r="AL59" s="54">
        <v>0</v>
      </c>
      <c r="AM59" s="54">
        <f t="shared" si="1"/>
        <v>1</v>
      </c>
      <c r="AN59" s="54">
        <v>1</v>
      </c>
      <c r="AO59" s="54">
        <v>0</v>
      </c>
      <c r="AP59" s="54" t="s">
        <v>88</v>
      </c>
      <c r="AQ59" s="54">
        <v>0</v>
      </c>
      <c r="AR59" s="55" t="s">
        <v>152</v>
      </c>
    </row>
    <row r="60" spans="1:44" ht="15" thickTop="1" thickBot="1"/>
    <row r="61" spans="1:44" ht="14.45" thickTop="1">
      <c r="A61" s="41" t="s">
        <v>153</v>
      </c>
      <c r="B61" s="42">
        <v>52</v>
      </c>
      <c r="C61" s="42" t="str">
        <f>DEC2HEX(B61)</f>
        <v>34</v>
      </c>
      <c r="D61" s="48" t="s">
        <v>26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4"/>
      <c r="AK61" s="22"/>
      <c r="AL61" s="22"/>
      <c r="AM61" s="22"/>
      <c r="AN61" s="22"/>
      <c r="AO61" s="22"/>
      <c r="AP61" s="22"/>
      <c r="AQ61" s="22"/>
      <c r="AR61" s="22"/>
    </row>
    <row r="62" spans="1:44" ht="14.45" thickBot="1">
      <c r="A62" s="93" t="s">
        <v>154</v>
      </c>
      <c r="B62" s="46"/>
      <c r="C62" s="46"/>
      <c r="D62" s="50">
        <f>COUNTIF(E62:AJ62,"x")</f>
        <v>32</v>
      </c>
      <c r="E62" s="46" t="s">
        <v>87</v>
      </c>
      <c r="F62" s="46" t="s">
        <v>87</v>
      </c>
      <c r="G62" s="46" t="s">
        <v>87</v>
      </c>
      <c r="H62" s="52" t="s">
        <v>87</v>
      </c>
      <c r="I62" s="46" t="s">
        <v>87</v>
      </c>
      <c r="J62" s="46" t="s">
        <v>87</v>
      </c>
      <c r="K62" s="46" t="s">
        <v>87</v>
      </c>
      <c r="L62" s="63" t="s">
        <v>87</v>
      </c>
      <c r="M62" s="46" t="s">
        <v>87</v>
      </c>
      <c r="N62" s="46" t="s">
        <v>87</v>
      </c>
      <c r="O62" s="46" t="s">
        <v>87</v>
      </c>
      <c r="P62" s="52" t="s">
        <v>87</v>
      </c>
      <c r="Q62" s="46" t="s">
        <v>87</v>
      </c>
      <c r="R62" s="46" t="s">
        <v>87</v>
      </c>
      <c r="S62" s="46" t="s">
        <v>87</v>
      </c>
      <c r="T62" s="63" t="s">
        <v>87</v>
      </c>
      <c r="U62" s="46" t="s">
        <v>87</v>
      </c>
      <c r="V62" s="46" t="s">
        <v>87</v>
      </c>
      <c r="W62" s="46" t="s">
        <v>87</v>
      </c>
      <c r="X62" s="52" t="s">
        <v>87</v>
      </c>
      <c r="Y62" s="46" t="s">
        <v>87</v>
      </c>
      <c r="Z62" s="46" t="s">
        <v>87</v>
      </c>
      <c r="AA62" s="46" t="s">
        <v>87</v>
      </c>
      <c r="AB62" s="63" t="s">
        <v>87</v>
      </c>
      <c r="AC62" s="46" t="s">
        <v>87</v>
      </c>
      <c r="AD62" s="46" t="s">
        <v>87</v>
      </c>
      <c r="AE62" s="46" t="s">
        <v>87</v>
      </c>
      <c r="AF62" s="52" t="s">
        <v>87</v>
      </c>
      <c r="AG62" s="46" t="s">
        <v>87</v>
      </c>
      <c r="AH62" s="46" t="s">
        <v>87</v>
      </c>
      <c r="AI62" s="46" t="s">
        <v>87</v>
      </c>
      <c r="AJ62" s="47" t="s">
        <v>87</v>
      </c>
      <c r="AK62" s="40" t="s">
        <v>27</v>
      </c>
      <c r="AL62" s="54">
        <v>0</v>
      </c>
      <c r="AM62" s="54">
        <f>2^D62 - 1</f>
        <v>4294967295</v>
      </c>
      <c r="AN62" s="54">
        <v>1</v>
      </c>
      <c r="AO62" s="54">
        <v>0</v>
      </c>
      <c r="AP62" s="54" t="s">
        <v>88</v>
      </c>
      <c r="AQ62" s="54">
        <v>0</v>
      </c>
      <c r="AR62" s="55" t="s">
        <v>155</v>
      </c>
    </row>
    <row r="63" spans="1:44" ht="15" thickTop="1" thickBot="1"/>
    <row r="64" spans="1:44" ht="14.45" thickTop="1">
      <c r="A64" s="41" t="s">
        <v>156</v>
      </c>
      <c r="B64" s="42">
        <v>56</v>
      </c>
      <c r="C64" s="42" t="str">
        <f>DEC2HEX(B64)</f>
        <v>38</v>
      </c>
      <c r="D64" s="48" t="s">
        <v>20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4"/>
      <c r="AK64" s="22"/>
      <c r="AL64" s="22"/>
      <c r="AM64" s="22"/>
      <c r="AN64" s="22"/>
      <c r="AO64" s="22"/>
      <c r="AP64" s="22"/>
      <c r="AQ64" s="22"/>
      <c r="AR64" s="22"/>
    </row>
    <row r="65" spans="1:44" ht="14.45" thickBot="1">
      <c r="A65" s="93" t="s">
        <v>157</v>
      </c>
      <c r="B65" s="46"/>
      <c r="C65" s="46"/>
      <c r="D65" s="50">
        <f>COUNTIF(E65:AJ65,"x")</f>
        <v>1</v>
      </c>
      <c r="E65" s="46"/>
      <c r="F65" s="46"/>
      <c r="G65" s="46"/>
      <c r="H65" s="52"/>
      <c r="I65" s="46"/>
      <c r="J65" s="46"/>
      <c r="K65" s="46"/>
      <c r="L65" s="63"/>
      <c r="M65" s="46"/>
      <c r="N65" s="46"/>
      <c r="O65" s="46"/>
      <c r="P65" s="52"/>
      <c r="Q65" s="46"/>
      <c r="R65" s="46"/>
      <c r="S65" s="46"/>
      <c r="T65" s="63"/>
      <c r="U65" s="46"/>
      <c r="V65" s="46"/>
      <c r="W65" s="46"/>
      <c r="X65" s="52"/>
      <c r="Y65" s="46"/>
      <c r="Z65" s="46"/>
      <c r="AA65" s="46"/>
      <c r="AB65" s="63"/>
      <c r="AC65" s="46"/>
      <c r="AD65" s="46"/>
      <c r="AE65" s="46"/>
      <c r="AF65" s="52"/>
      <c r="AG65" s="46"/>
      <c r="AH65" s="46"/>
      <c r="AI65" s="46"/>
      <c r="AJ65" s="47" t="s">
        <v>87</v>
      </c>
      <c r="AK65" s="40" t="s">
        <v>27</v>
      </c>
      <c r="AL65" s="54">
        <v>0</v>
      </c>
      <c r="AM65" s="54">
        <f>2^D65 - 1</f>
        <v>1</v>
      </c>
      <c r="AN65" s="54">
        <v>1</v>
      </c>
      <c r="AO65" s="54">
        <v>0</v>
      </c>
      <c r="AP65" s="54" t="s">
        <v>88</v>
      </c>
      <c r="AQ65" s="54">
        <v>0</v>
      </c>
      <c r="AR65" s="55" t="s">
        <v>158</v>
      </c>
    </row>
    <row r="66" spans="1:44" ht="15" thickTop="1" thickBot="1"/>
    <row r="67" spans="1:44" ht="14.45" thickTop="1">
      <c r="A67" s="41" t="s">
        <v>159</v>
      </c>
      <c r="B67" s="42">
        <v>64</v>
      </c>
      <c r="C67" s="42" t="str">
        <f>DEC2HEX(B67)</f>
        <v>40</v>
      </c>
      <c r="D67" s="48" t="s">
        <v>29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4"/>
      <c r="AK67" s="22"/>
      <c r="AL67" s="22"/>
      <c r="AM67" s="22"/>
      <c r="AN67" s="22"/>
      <c r="AO67" s="22"/>
      <c r="AP67" s="22"/>
      <c r="AQ67" s="22"/>
      <c r="AR67" s="22"/>
    </row>
    <row r="68" spans="1:44" ht="14.45" thickBot="1">
      <c r="A68" s="93" t="s">
        <v>160</v>
      </c>
      <c r="B68" s="46"/>
      <c r="C68" s="46"/>
      <c r="D68" s="50">
        <f>COUNTIF(E68:AJ68,"x")</f>
        <v>32</v>
      </c>
      <c r="E68" s="46" t="s">
        <v>87</v>
      </c>
      <c r="F68" s="46" t="s">
        <v>87</v>
      </c>
      <c r="G68" s="46" t="s">
        <v>87</v>
      </c>
      <c r="H68" s="52" t="s">
        <v>87</v>
      </c>
      <c r="I68" s="46" t="s">
        <v>87</v>
      </c>
      <c r="J68" s="46" t="s">
        <v>87</v>
      </c>
      <c r="K68" s="46" t="s">
        <v>87</v>
      </c>
      <c r="L68" s="63" t="s">
        <v>87</v>
      </c>
      <c r="M68" s="46" t="s">
        <v>87</v>
      </c>
      <c r="N68" s="46" t="s">
        <v>87</v>
      </c>
      <c r="O68" s="46" t="s">
        <v>87</v>
      </c>
      <c r="P68" s="52" t="s">
        <v>87</v>
      </c>
      <c r="Q68" s="46" t="s">
        <v>87</v>
      </c>
      <c r="R68" s="46" t="s">
        <v>87</v>
      </c>
      <c r="S68" s="46" t="s">
        <v>87</v>
      </c>
      <c r="T68" s="63" t="s">
        <v>87</v>
      </c>
      <c r="U68" s="46" t="s">
        <v>87</v>
      </c>
      <c r="V68" s="46" t="s">
        <v>87</v>
      </c>
      <c r="W68" s="46" t="s">
        <v>87</v>
      </c>
      <c r="X68" s="52" t="s">
        <v>87</v>
      </c>
      <c r="Y68" s="46" t="s">
        <v>87</v>
      </c>
      <c r="Z68" s="46" t="s">
        <v>87</v>
      </c>
      <c r="AA68" s="46" t="s">
        <v>87</v>
      </c>
      <c r="AB68" s="63" t="s">
        <v>87</v>
      </c>
      <c r="AC68" s="46" t="s">
        <v>87</v>
      </c>
      <c r="AD68" s="46" t="s">
        <v>87</v>
      </c>
      <c r="AE68" s="46" t="s">
        <v>87</v>
      </c>
      <c r="AF68" s="52" t="s">
        <v>87</v>
      </c>
      <c r="AG68" s="46" t="s">
        <v>87</v>
      </c>
      <c r="AH68" s="46" t="s">
        <v>87</v>
      </c>
      <c r="AI68" s="46" t="s">
        <v>87</v>
      </c>
      <c r="AJ68" s="47" t="s">
        <v>87</v>
      </c>
      <c r="AK68" s="40" t="s">
        <v>27</v>
      </c>
      <c r="AL68" s="54">
        <v>0</v>
      </c>
      <c r="AM68" s="54">
        <f>2^D68 - 1</f>
        <v>4294967295</v>
      </c>
      <c r="AN68" s="54">
        <v>1</v>
      </c>
      <c r="AO68" s="54">
        <v>0</v>
      </c>
      <c r="AP68" s="54" t="s">
        <v>88</v>
      </c>
      <c r="AQ68" s="54">
        <v>0</v>
      </c>
      <c r="AR68" s="55" t="s">
        <v>161</v>
      </c>
    </row>
    <row r="69" spans="1:44" ht="15" thickTop="1" thickBot="1"/>
    <row r="70" spans="1:44" ht="14.45" thickTop="1">
      <c r="A70" s="41" t="s">
        <v>162</v>
      </c>
      <c r="B70" s="42">
        <v>68</v>
      </c>
      <c r="C70" s="42" t="str">
        <f>DEC2HEX(B70)</f>
        <v>44</v>
      </c>
      <c r="D70" s="48" t="s">
        <v>29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4"/>
      <c r="AK70" s="22"/>
      <c r="AL70" s="22"/>
      <c r="AM70" s="22"/>
      <c r="AN70" s="22"/>
      <c r="AO70" s="22"/>
      <c r="AP70" s="22"/>
      <c r="AQ70" s="22"/>
      <c r="AR70" s="22"/>
    </row>
    <row r="71" spans="1:44" ht="14.45" thickBot="1">
      <c r="A71" s="93" t="s">
        <v>163</v>
      </c>
      <c r="B71" s="46"/>
      <c r="C71" s="46"/>
      <c r="D71" s="50">
        <f>COUNTIF(E71:AJ71,"x")</f>
        <v>32</v>
      </c>
      <c r="E71" s="46" t="s">
        <v>87</v>
      </c>
      <c r="F71" s="46" t="s">
        <v>87</v>
      </c>
      <c r="G71" s="46" t="s">
        <v>87</v>
      </c>
      <c r="H71" s="52" t="s">
        <v>87</v>
      </c>
      <c r="I71" s="46" t="s">
        <v>87</v>
      </c>
      <c r="J71" s="46" t="s">
        <v>87</v>
      </c>
      <c r="K71" s="46" t="s">
        <v>87</v>
      </c>
      <c r="L71" s="63" t="s">
        <v>87</v>
      </c>
      <c r="M71" s="46" t="s">
        <v>87</v>
      </c>
      <c r="N71" s="46" t="s">
        <v>87</v>
      </c>
      <c r="O71" s="46" t="s">
        <v>87</v>
      </c>
      <c r="P71" s="52" t="s">
        <v>87</v>
      </c>
      <c r="Q71" s="46" t="s">
        <v>87</v>
      </c>
      <c r="R71" s="46" t="s">
        <v>87</v>
      </c>
      <c r="S71" s="46" t="s">
        <v>87</v>
      </c>
      <c r="T71" s="63" t="s">
        <v>87</v>
      </c>
      <c r="U71" s="46" t="s">
        <v>87</v>
      </c>
      <c r="V71" s="46" t="s">
        <v>87</v>
      </c>
      <c r="W71" s="46" t="s">
        <v>87</v>
      </c>
      <c r="X71" s="52" t="s">
        <v>87</v>
      </c>
      <c r="Y71" s="46" t="s">
        <v>87</v>
      </c>
      <c r="Z71" s="46" t="s">
        <v>87</v>
      </c>
      <c r="AA71" s="46" t="s">
        <v>87</v>
      </c>
      <c r="AB71" s="63" t="s">
        <v>87</v>
      </c>
      <c r="AC71" s="46" t="s">
        <v>87</v>
      </c>
      <c r="AD71" s="46" t="s">
        <v>87</v>
      </c>
      <c r="AE71" s="46" t="s">
        <v>87</v>
      </c>
      <c r="AF71" s="52" t="s">
        <v>87</v>
      </c>
      <c r="AG71" s="46" t="s">
        <v>87</v>
      </c>
      <c r="AH71" s="46" t="s">
        <v>87</v>
      </c>
      <c r="AI71" s="46" t="s">
        <v>87</v>
      </c>
      <c r="AJ71" s="47" t="s">
        <v>87</v>
      </c>
      <c r="AK71" s="40" t="s">
        <v>27</v>
      </c>
      <c r="AL71" s="54">
        <v>0</v>
      </c>
      <c r="AM71" s="54">
        <f>2^D71 - 1</f>
        <v>4294967295</v>
      </c>
      <c r="AN71" s="54">
        <v>1</v>
      </c>
      <c r="AO71" s="54">
        <v>0</v>
      </c>
      <c r="AP71" s="54" t="s">
        <v>88</v>
      </c>
      <c r="AQ71" s="54">
        <v>0</v>
      </c>
      <c r="AR71" s="55" t="s">
        <v>164</v>
      </c>
    </row>
    <row r="72" spans="1:44" ht="15" thickTop="1" thickBot="1"/>
    <row r="73" spans="1:44" ht="14.45" thickTop="1">
      <c r="A73" s="41" t="s">
        <v>165</v>
      </c>
      <c r="B73" s="42">
        <v>72</v>
      </c>
      <c r="C73" s="42" t="str">
        <f>DEC2HEX(B73)</f>
        <v>48</v>
      </c>
      <c r="D73" s="48" t="s">
        <v>29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4"/>
      <c r="AK73" s="22"/>
      <c r="AL73" s="22"/>
      <c r="AM73" s="22"/>
      <c r="AN73" s="22"/>
      <c r="AO73" s="22"/>
      <c r="AP73" s="22"/>
      <c r="AQ73" s="22"/>
      <c r="AR73" s="22"/>
    </row>
    <row r="74" spans="1:44" ht="14.45" thickBot="1">
      <c r="A74" s="93" t="s">
        <v>166</v>
      </c>
      <c r="B74" s="46"/>
      <c r="C74" s="46"/>
      <c r="D74" s="50">
        <f>COUNTIF(E74:AJ74,"x")</f>
        <v>32</v>
      </c>
      <c r="E74" s="46" t="s">
        <v>87</v>
      </c>
      <c r="F74" s="46" t="s">
        <v>87</v>
      </c>
      <c r="G74" s="46" t="s">
        <v>87</v>
      </c>
      <c r="H74" s="52" t="s">
        <v>87</v>
      </c>
      <c r="I74" s="46" t="s">
        <v>87</v>
      </c>
      <c r="J74" s="46" t="s">
        <v>87</v>
      </c>
      <c r="K74" s="46" t="s">
        <v>87</v>
      </c>
      <c r="L74" s="63" t="s">
        <v>87</v>
      </c>
      <c r="M74" s="46" t="s">
        <v>87</v>
      </c>
      <c r="N74" s="46" t="s">
        <v>87</v>
      </c>
      <c r="O74" s="46" t="s">
        <v>87</v>
      </c>
      <c r="P74" s="52" t="s">
        <v>87</v>
      </c>
      <c r="Q74" s="46" t="s">
        <v>87</v>
      </c>
      <c r="R74" s="46" t="s">
        <v>87</v>
      </c>
      <c r="S74" s="46" t="s">
        <v>87</v>
      </c>
      <c r="T74" s="63" t="s">
        <v>87</v>
      </c>
      <c r="U74" s="46" t="s">
        <v>87</v>
      </c>
      <c r="V74" s="46" t="s">
        <v>87</v>
      </c>
      <c r="W74" s="46" t="s">
        <v>87</v>
      </c>
      <c r="X74" s="52" t="s">
        <v>87</v>
      </c>
      <c r="Y74" s="46" t="s">
        <v>87</v>
      </c>
      <c r="Z74" s="46" t="s">
        <v>87</v>
      </c>
      <c r="AA74" s="46" t="s">
        <v>87</v>
      </c>
      <c r="AB74" s="63" t="s">
        <v>87</v>
      </c>
      <c r="AC74" s="46" t="s">
        <v>87</v>
      </c>
      <c r="AD74" s="46" t="s">
        <v>87</v>
      </c>
      <c r="AE74" s="46" t="s">
        <v>87</v>
      </c>
      <c r="AF74" s="52" t="s">
        <v>87</v>
      </c>
      <c r="AG74" s="46" t="s">
        <v>87</v>
      </c>
      <c r="AH74" s="46" t="s">
        <v>87</v>
      </c>
      <c r="AI74" s="46" t="s">
        <v>87</v>
      </c>
      <c r="AJ74" s="47" t="s">
        <v>87</v>
      </c>
      <c r="AK74" s="40" t="s">
        <v>27</v>
      </c>
      <c r="AL74" s="54">
        <v>0</v>
      </c>
      <c r="AM74" s="54">
        <f>2^D74 - 1</f>
        <v>4294967295</v>
      </c>
      <c r="AN74" s="54">
        <v>1</v>
      </c>
      <c r="AO74" s="54">
        <v>0</v>
      </c>
      <c r="AP74" s="54" t="s">
        <v>88</v>
      </c>
      <c r="AQ74" s="54">
        <v>0</v>
      </c>
      <c r="AR74" s="55" t="s">
        <v>167</v>
      </c>
    </row>
    <row r="75" spans="1:44" ht="15" thickTop="1" thickBot="1"/>
    <row r="76" spans="1:44" ht="14.45" thickTop="1">
      <c r="A76" s="41" t="s">
        <v>168</v>
      </c>
      <c r="B76" s="42">
        <v>76</v>
      </c>
      <c r="C76" s="42" t="str">
        <f>DEC2HEX(B76)</f>
        <v>4C</v>
      </c>
      <c r="D76" s="48" t="s">
        <v>29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4"/>
      <c r="AK76" s="22"/>
      <c r="AL76" s="22"/>
      <c r="AM76" s="22"/>
      <c r="AN76" s="22"/>
      <c r="AO76" s="22"/>
      <c r="AP76" s="22"/>
      <c r="AQ76" s="22"/>
      <c r="AR76" s="22"/>
    </row>
    <row r="77" spans="1:44" ht="14.45" thickBot="1">
      <c r="A77" s="93" t="s">
        <v>169</v>
      </c>
      <c r="B77" s="46"/>
      <c r="C77" s="46"/>
      <c r="D77" s="50">
        <f>COUNTIF(E77:AJ77,"x")</f>
        <v>32</v>
      </c>
      <c r="E77" s="46" t="s">
        <v>87</v>
      </c>
      <c r="F77" s="46" t="s">
        <v>87</v>
      </c>
      <c r="G77" s="46" t="s">
        <v>87</v>
      </c>
      <c r="H77" s="52" t="s">
        <v>87</v>
      </c>
      <c r="I77" s="46" t="s">
        <v>87</v>
      </c>
      <c r="J77" s="46" t="s">
        <v>87</v>
      </c>
      <c r="K77" s="46" t="s">
        <v>87</v>
      </c>
      <c r="L77" s="63" t="s">
        <v>87</v>
      </c>
      <c r="M77" s="46" t="s">
        <v>87</v>
      </c>
      <c r="N77" s="46" t="s">
        <v>87</v>
      </c>
      <c r="O77" s="46" t="s">
        <v>87</v>
      </c>
      <c r="P77" s="52" t="s">
        <v>87</v>
      </c>
      <c r="Q77" s="46" t="s">
        <v>87</v>
      </c>
      <c r="R77" s="46" t="s">
        <v>87</v>
      </c>
      <c r="S77" s="46" t="s">
        <v>87</v>
      </c>
      <c r="T77" s="63" t="s">
        <v>87</v>
      </c>
      <c r="U77" s="46" t="s">
        <v>87</v>
      </c>
      <c r="V77" s="46" t="s">
        <v>87</v>
      </c>
      <c r="W77" s="46" t="s">
        <v>87</v>
      </c>
      <c r="X77" s="52" t="s">
        <v>87</v>
      </c>
      <c r="Y77" s="46" t="s">
        <v>87</v>
      </c>
      <c r="Z77" s="46" t="s">
        <v>87</v>
      </c>
      <c r="AA77" s="46" t="s">
        <v>87</v>
      </c>
      <c r="AB77" s="63" t="s">
        <v>87</v>
      </c>
      <c r="AC77" s="46" t="s">
        <v>87</v>
      </c>
      <c r="AD77" s="46" t="s">
        <v>87</v>
      </c>
      <c r="AE77" s="46" t="s">
        <v>87</v>
      </c>
      <c r="AF77" s="52" t="s">
        <v>87</v>
      </c>
      <c r="AG77" s="46" t="s">
        <v>87</v>
      </c>
      <c r="AH77" s="46" t="s">
        <v>87</v>
      </c>
      <c r="AI77" s="46" t="s">
        <v>87</v>
      </c>
      <c r="AJ77" s="47" t="s">
        <v>87</v>
      </c>
      <c r="AK77" s="40" t="s">
        <v>27</v>
      </c>
      <c r="AL77" s="54">
        <v>0</v>
      </c>
      <c r="AM77" s="54">
        <f>2^D77 - 1</f>
        <v>4294967295</v>
      </c>
      <c r="AN77" s="54">
        <v>1</v>
      </c>
      <c r="AO77" s="54">
        <v>0</v>
      </c>
      <c r="AP77" s="54" t="s">
        <v>88</v>
      </c>
      <c r="AQ77" s="54">
        <v>0</v>
      </c>
      <c r="AR77" s="55" t="s">
        <v>170</v>
      </c>
    </row>
    <row r="78" spans="1:44" ht="15" thickTop="1" thickBot="1"/>
    <row r="79" spans="1:44" ht="14.45" thickTop="1">
      <c r="A79" s="41" t="s">
        <v>171</v>
      </c>
      <c r="B79" s="42">
        <v>80</v>
      </c>
      <c r="C79" s="42" t="str">
        <f>DEC2HEX(B79)</f>
        <v>50</v>
      </c>
      <c r="D79" s="48" t="s">
        <v>29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4"/>
      <c r="AK79" s="22"/>
      <c r="AL79" s="22"/>
      <c r="AM79" s="22"/>
      <c r="AN79" s="22"/>
      <c r="AO79" s="22"/>
      <c r="AP79" s="22"/>
      <c r="AQ79" s="22"/>
      <c r="AR79" s="22"/>
    </row>
    <row r="80" spans="1:44" ht="14.45" thickBot="1">
      <c r="A80" s="93" t="s">
        <v>172</v>
      </c>
      <c r="B80" s="46"/>
      <c r="C80" s="46"/>
      <c r="D80" s="50">
        <f>COUNTIF(E80:AJ80,"x")</f>
        <v>32</v>
      </c>
      <c r="E80" s="46" t="s">
        <v>87</v>
      </c>
      <c r="F80" s="46" t="s">
        <v>87</v>
      </c>
      <c r="G80" s="46" t="s">
        <v>87</v>
      </c>
      <c r="H80" s="52" t="s">
        <v>87</v>
      </c>
      <c r="I80" s="46" t="s">
        <v>87</v>
      </c>
      <c r="J80" s="46" t="s">
        <v>87</v>
      </c>
      <c r="K80" s="46" t="s">
        <v>87</v>
      </c>
      <c r="L80" s="63" t="s">
        <v>87</v>
      </c>
      <c r="M80" s="46" t="s">
        <v>87</v>
      </c>
      <c r="N80" s="46" t="s">
        <v>87</v>
      </c>
      <c r="O80" s="46" t="s">
        <v>87</v>
      </c>
      <c r="P80" s="52" t="s">
        <v>87</v>
      </c>
      <c r="Q80" s="46" t="s">
        <v>87</v>
      </c>
      <c r="R80" s="46" t="s">
        <v>87</v>
      </c>
      <c r="S80" s="46" t="s">
        <v>87</v>
      </c>
      <c r="T80" s="63" t="s">
        <v>87</v>
      </c>
      <c r="U80" s="46" t="s">
        <v>87</v>
      </c>
      <c r="V80" s="46" t="s">
        <v>87</v>
      </c>
      <c r="W80" s="46" t="s">
        <v>87</v>
      </c>
      <c r="X80" s="52" t="s">
        <v>87</v>
      </c>
      <c r="Y80" s="46" t="s">
        <v>87</v>
      </c>
      <c r="Z80" s="46" t="s">
        <v>87</v>
      </c>
      <c r="AA80" s="46" t="s">
        <v>87</v>
      </c>
      <c r="AB80" s="63" t="s">
        <v>87</v>
      </c>
      <c r="AC80" s="46" t="s">
        <v>87</v>
      </c>
      <c r="AD80" s="46" t="s">
        <v>87</v>
      </c>
      <c r="AE80" s="46" t="s">
        <v>87</v>
      </c>
      <c r="AF80" s="52" t="s">
        <v>87</v>
      </c>
      <c r="AG80" s="46" t="s">
        <v>87</v>
      </c>
      <c r="AH80" s="46" t="s">
        <v>87</v>
      </c>
      <c r="AI80" s="46" t="s">
        <v>87</v>
      </c>
      <c r="AJ80" s="47" t="s">
        <v>87</v>
      </c>
      <c r="AK80" s="40" t="s">
        <v>27</v>
      </c>
      <c r="AL80" s="54">
        <v>0</v>
      </c>
      <c r="AM80" s="54">
        <f>2^D80 - 1</f>
        <v>4294967295</v>
      </c>
      <c r="AN80" s="54">
        <v>1</v>
      </c>
      <c r="AO80" s="54">
        <v>0</v>
      </c>
      <c r="AP80" s="54" t="s">
        <v>88</v>
      </c>
      <c r="AQ80" s="54">
        <v>0</v>
      </c>
      <c r="AR80" s="55" t="s">
        <v>173</v>
      </c>
    </row>
    <row r="81" spans="1:44" ht="15" thickTop="1" thickBot="1"/>
    <row r="82" spans="1:44" ht="14.45" thickTop="1">
      <c r="A82" s="41" t="s">
        <v>174</v>
      </c>
      <c r="B82" s="43"/>
      <c r="C82" s="43"/>
      <c r="D82" s="48" t="s">
        <v>31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4"/>
      <c r="AK82" s="22"/>
      <c r="AL82" s="22"/>
      <c r="AM82" s="22"/>
      <c r="AN82" s="22"/>
      <c r="AO82" s="22"/>
      <c r="AP82" s="22"/>
      <c r="AQ82" s="22"/>
      <c r="AR82" s="22"/>
    </row>
    <row r="83" spans="1:44">
      <c r="A83" s="56" t="s">
        <v>175</v>
      </c>
      <c r="B83" s="62">
        <v>84</v>
      </c>
      <c r="C83" s="62" t="str">
        <f>DEC2HEX(B83)</f>
        <v>54</v>
      </c>
      <c r="D83" s="60"/>
      <c r="E83" s="57"/>
      <c r="F83" s="57"/>
      <c r="G83" s="57"/>
      <c r="H83" s="61"/>
      <c r="I83" s="57"/>
      <c r="J83" s="57"/>
      <c r="K83" s="57"/>
      <c r="L83" s="59"/>
      <c r="M83" s="57"/>
      <c r="N83" s="57"/>
      <c r="O83" s="57"/>
      <c r="P83" s="61"/>
      <c r="Q83" s="57"/>
      <c r="R83" s="57"/>
      <c r="S83" s="57"/>
      <c r="T83" s="59"/>
      <c r="U83" s="57"/>
      <c r="V83" s="57"/>
      <c r="W83" s="57"/>
      <c r="X83" s="61"/>
      <c r="Y83" s="57"/>
      <c r="Z83" s="57"/>
      <c r="AA83" s="57"/>
      <c r="AB83" s="59"/>
      <c r="AC83" s="57"/>
      <c r="AD83" s="57"/>
      <c r="AE83" s="57"/>
      <c r="AF83" s="61"/>
      <c r="AG83" s="57"/>
      <c r="AH83" s="57"/>
      <c r="AI83" s="57"/>
      <c r="AJ83" s="58"/>
      <c r="AK83" s="22"/>
      <c r="AL83" s="22"/>
      <c r="AM83" s="22"/>
      <c r="AN83" s="22"/>
      <c r="AO83" s="22"/>
      <c r="AP83" s="22"/>
      <c r="AQ83" s="22"/>
      <c r="AR83" s="22"/>
    </row>
    <row r="84" spans="1:44">
      <c r="A84" s="56" t="s">
        <v>176</v>
      </c>
      <c r="B84" s="62">
        <v>88</v>
      </c>
      <c r="C84" s="62" t="str">
        <f>DEC2HEX(B84)</f>
        <v>58</v>
      </c>
      <c r="D84" s="60"/>
      <c r="E84" s="57"/>
      <c r="F84" s="57"/>
      <c r="G84" s="57"/>
      <c r="H84" s="61"/>
      <c r="I84" s="57"/>
      <c r="J84" s="57"/>
      <c r="K84" s="57"/>
      <c r="L84" s="59"/>
      <c r="M84" s="57"/>
      <c r="N84" s="57"/>
      <c r="O84" s="57"/>
      <c r="P84" s="61"/>
      <c r="Q84" s="57"/>
      <c r="R84" s="57"/>
      <c r="S84" s="57"/>
      <c r="T84" s="59"/>
      <c r="U84" s="57"/>
      <c r="V84" s="57"/>
      <c r="W84" s="57"/>
      <c r="X84" s="61"/>
      <c r="Y84" s="57"/>
      <c r="Z84" s="57"/>
      <c r="AA84" s="57"/>
      <c r="AB84" s="59"/>
      <c r="AC84" s="57"/>
      <c r="AD84" s="57"/>
      <c r="AE84" s="57"/>
      <c r="AF84" s="61"/>
      <c r="AG84" s="57"/>
      <c r="AH84" s="57"/>
      <c r="AI84" s="57"/>
      <c r="AJ84" s="58"/>
      <c r="AK84" s="22"/>
      <c r="AL84" s="22"/>
      <c r="AM84" s="22"/>
      <c r="AN84" s="22"/>
      <c r="AO84" s="22"/>
      <c r="AP84" s="22"/>
      <c r="AQ84" s="22"/>
      <c r="AR84" s="22"/>
    </row>
    <row r="85" spans="1:44">
      <c r="A85" s="56" t="s">
        <v>177</v>
      </c>
      <c r="B85" s="62">
        <v>92</v>
      </c>
      <c r="C85" s="62" t="str">
        <f>DEC2HEX(B85)</f>
        <v>5C</v>
      </c>
      <c r="D85" s="60"/>
      <c r="E85" s="57"/>
      <c r="F85" s="57"/>
      <c r="G85" s="57"/>
      <c r="H85" s="61"/>
      <c r="I85" s="57"/>
      <c r="J85" s="57"/>
      <c r="K85" s="57"/>
      <c r="L85" s="59"/>
      <c r="M85" s="57"/>
      <c r="N85" s="57"/>
      <c r="O85" s="57"/>
      <c r="P85" s="61"/>
      <c r="Q85" s="57"/>
      <c r="R85" s="57"/>
      <c r="S85" s="57"/>
      <c r="T85" s="59"/>
      <c r="U85" s="57"/>
      <c r="V85" s="57"/>
      <c r="W85" s="57"/>
      <c r="X85" s="61"/>
      <c r="Y85" s="57"/>
      <c r="Z85" s="57"/>
      <c r="AA85" s="57"/>
      <c r="AB85" s="59"/>
      <c r="AC85" s="57"/>
      <c r="AD85" s="57"/>
      <c r="AE85" s="57"/>
      <c r="AF85" s="61"/>
      <c r="AG85" s="57"/>
      <c r="AH85" s="57"/>
      <c r="AI85" s="57"/>
      <c r="AJ85" s="58"/>
      <c r="AK85" s="22"/>
      <c r="AL85" s="22"/>
      <c r="AM85" s="22"/>
      <c r="AN85" s="22"/>
      <c r="AO85" s="22"/>
      <c r="AP85" s="22"/>
      <c r="AQ85" s="22"/>
      <c r="AR85" s="22"/>
    </row>
    <row r="86" spans="1:44">
      <c r="A86" s="56" t="s">
        <v>178</v>
      </c>
      <c r="B86" s="62">
        <v>96</v>
      </c>
      <c r="C86" s="62" t="str">
        <f>DEC2HEX(B86)</f>
        <v>60</v>
      </c>
      <c r="D86" s="60"/>
      <c r="E86" s="57"/>
      <c r="F86" s="57"/>
      <c r="G86" s="57"/>
      <c r="H86" s="61"/>
      <c r="I86" s="57"/>
      <c r="J86" s="57"/>
      <c r="K86" s="57"/>
      <c r="L86" s="59"/>
      <c r="M86" s="57"/>
      <c r="N86" s="57"/>
      <c r="O86" s="57"/>
      <c r="P86" s="61"/>
      <c r="Q86" s="57"/>
      <c r="R86" s="57"/>
      <c r="S86" s="57"/>
      <c r="T86" s="59"/>
      <c r="U86" s="57"/>
      <c r="V86" s="57"/>
      <c r="W86" s="57"/>
      <c r="X86" s="61"/>
      <c r="Y86" s="57"/>
      <c r="Z86" s="57"/>
      <c r="AA86" s="57"/>
      <c r="AB86" s="59"/>
      <c r="AC86" s="57"/>
      <c r="AD86" s="57"/>
      <c r="AE86" s="57"/>
      <c r="AF86" s="61"/>
      <c r="AG86" s="57"/>
      <c r="AH86" s="57"/>
      <c r="AI86" s="57"/>
      <c r="AJ86" s="58"/>
      <c r="AK86" s="22"/>
      <c r="AL86" s="22"/>
      <c r="AM86" s="22"/>
      <c r="AN86" s="22"/>
      <c r="AO86" s="22"/>
      <c r="AP86" s="22"/>
      <c r="AQ86" s="22"/>
      <c r="AR86" s="22"/>
    </row>
    <row r="87" spans="1:44">
      <c r="A87" s="101" t="s">
        <v>179</v>
      </c>
      <c r="B87" s="22"/>
      <c r="C87" s="22"/>
      <c r="D87" s="49">
        <f t="shared" ref="D87:D95" si="2">COUNTIF(E87:AJ87,"x")</f>
        <v>1</v>
      </c>
      <c r="E87" s="22"/>
      <c r="F87" s="22"/>
      <c r="G87" s="22"/>
      <c r="H87" s="51"/>
      <c r="I87" s="22"/>
      <c r="J87" s="22"/>
      <c r="K87" s="22"/>
      <c r="L87" s="53"/>
      <c r="M87" s="22"/>
      <c r="N87" s="22"/>
      <c r="O87" s="22"/>
      <c r="P87" s="51"/>
      <c r="Q87" s="22"/>
      <c r="R87" s="22"/>
      <c r="S87" s="22"/>
      <c r="T87" s="53"/>
      <c r="U87" s="22"/>
      <c r="V87" s="22"/>
      <c r="W87" s="22"/>
      <c r="X87" s="51"/>
      <c r="Y87" s="22"/>
      <c r="Z87" s="22"/>
      <c r="AA87" s="22"/>
      <c r="AB87" s="53"/>
      <c r="AC87" s="22"/>
      <c r="AD87" s="22"/>
      <c r="AE87" s="22"/>
      <c r="AF87" s="51"/>
      <c r="AG87" s="22"/>
      <c r="AH87" s="22"/>
      <c r="AI87" s="22"/>
      <c r="AJ87" s="45" t="s">
        <v>87</v>
      </c>
      <c r="AK87" s="40" t="s">
        <v>27</v>
      </c>
      <c r="AL87" s="54">
        <v>0</v>
      </c>
      <c r="AM87" s="54">
        <f t="shared" ref="AM87:AM95" si="3">2^D87 - 1</f>
        <v>1</v>
      </c>
      <c r="AN87" s="54">
        <v>1</v>
      </c>
      <c r="AO87" s="54">
        <v>0</v>
      </c>
      <c r="AP87" s="54" t="s">
        <v>88</v>
      </c>
      <c r="AQ87" s="54">
        <v>0</v>
      </c>
      <c r="AR87" s="55" t="s">
        <v>180</v>
      </c>
    </row>
    <row r="88" spans="1:44">
      <c r="A88" s="101" t="s">
        <v>181</v>
      </c>
      <c r="B88" s="22"/>
      <c r="C88" s="22"/>
      <c r="D88" s="49">
        <f t="shared" si="2"/>
        <v>1</v>
      </c>
      <c r="E88" s="22"/>
      <c r="F88" s="22"/>
      <c r="G88" s="22"/>
      <c r="H88" s="51"/>
      <c r="I88" s="22"/>
      <c r="J88" s="22"/>
      <c r="K88" s="22"/>
      <c r="L88" s="53"/>
      <c r="M88" s="22"/>
      <c r="N88" s="22"/>
      <c r="O88" s="22"/>
      <c r="P88" s="51"/>
      <c r="Q88" s="22"/>
      <c r="R88" s="22"/>
      <c r="S88" s="22"/>
      <c r="T88" s="53"/>
      <c r="U88" s="22"/>
      <c r="V88" s="22"/>
      <c r="W88" s="22"/>
      <c r="X88" s="51"/>
      <c r="Y88" s="22"/>
      <c r="Z88" s="22"/>
      <c r="AA88" s="22"/>
      <c r="AB88" s="53"/>
      <c r="AC88" s="22"/>
      <c r="AD88" s="22"/>
      <c r="AE88" s="22"/>
      <c r="AF88" s="51"/>
      <c r="AG88" s="22"/>
      <c r="AH88" s="22"/>
      <c r="AI88" s="22" t="s">
        <v>87</v>
      </c>
      <c r="AJ88" s="45"/>
      <c r="AK88" s="40" t="s">
        <v>27</v>
      </c>
      <c r="AL88" s="54">
        <v>0</v>
      </c>
      <c r="AM88" s="54">
        <f t="shared" si="3"/>
        <v>1</v>
      </c>
      <c r="AN88" s="54">
        <v>1</v>
      </c>
      <c r="AO88" s="54">
        <v>0</v>
      </c>
      <c r="AP88" s="54" t="s">
        <v>88</v>
      </c>
      <c r="AQ88" s="54">
        <v>0</v>
      </c>
      <c r="AR88" s="55" t="s">
        <v>180</v>
      </c>
    </row>
    <row r="89" spans="1:44">
      <c r="A89" s="101" t="s">
        <v>182</v>
      </c>
      <c r="B89" s="22"/>
      <c r="C89" s="22"/>
      <c r="D89" s="49">
        <f t="shared" si="2"/>
        <v>1</v>
      </c>
      <c r="E89" s="22"/>
      <c r="F89" s="22"/>
      <c r="G89" s="22"/>
      <c r="H89" s="51"/>
      <c r="I89" s="22"/>
      <c r="J89" s="22"/>
      <c r="K89" s="22"/>
      <c r="L89" s="53"/>
      <c r="M89" s="22"/>
      <c r="N89" s="22"/>
      <c r="O89" s="22"/>
      <c r="P89" s="51"/>
      <c r="Q89" s="22"/>
      <c r="R89" s="22"/>
      <c r="S89" s="22"/>
      <c r="T89" s="53"/>
      <c r="U89" s="22"/>
      <c r="V89" s="22"/>
      <c r="W89" s="22"/>
      <c r="X89" s="51"/>
      <c r="Y89" s="22"/>
      <c r="Z89" s="22"/>
      <c r="AA89" s="22"/>
      <c r="AB89" s="53"/>
      <c r="AC89" s="22"/>
      <c r="AD89" s="22"/>
      <c r="AE89" s="22"/>
      <c r="AF89" s="51"/>
      <c r="AG89" s="22"/>
      <c r="AH89" s="22" t="s">
        <v>87</v>
      </c>
      <c r="AI89" s="22"/>
      <c r="AJ89" s="45"/>
      <c r="AK89" s="40" t="s">
        <v>27</v>
      </c>
      <c r="AL89" s="54">
        <v>0</v>
      </c>
      <c r="AM89" s="54">
        <f t="shared" si="3"/>
        <v>1</v>
      </c>
      <c r="AN89" s="54">
        <v>1</v>
      </c>
      <c r="AO89" s="54">
        <v>0</v>
      </c>
      <c r="AP89" s="54" t="s">
        <v>88</v>
      </c>
      <c r="AQ89" s="54">
        <v>0</v>
      </c>
      <c r="AR89" s="55" t="s">
        <v>180</v>
      </c>
    </row>
    <row r="90" spans="1:44">
      <c r="A90" s="101" t="s">
        <v>183</v>
      </c>
      <c r="B90" s="22"/>
      <c r="C90" s="22"/>
      <c r="D90" s="49">
        <f t="shared" si="2"/>
        <v>1</v>
      </c>
      <c r="E90" s="22"/>
      <c r="F90" s="22"/>
      <c r="G90" s="22"/>
      <c r="H90" s="51"/>
      <c r="I90" s="22"/>
      <c r="J90" s="22"/>
      <c r="K90" s="22"/>
      <c r="L90" s="53"/>
      <c r="M90" s="22"/>
      <c r="N90" s="22"/>
      <c r="O90" s="22"/>
      <c r="P90" s="51"/>
      <c r="Q90" s="22"/>
      <c r="R90" s="22"/>
      <c r="S90" s="22"/>
      <c r="T90" s="53"/>
      <c r="U90" s="22"/>
      <c r="V90" s="22"/>
      <c r="W90" s="22"/>
      <c r="X90" s="51"/>
      <c r="Y90" s="22"/>
      <c r="Z90" s="22"/>
      <c r="AA90" s="22"/>
      <c r="AB90" s="53"/>
      <c r="AC90" s="22"/>
      <c r="AD90" s="22"/>
      <c r="AE90" s="22"/>
      <c r="AF90" s="51"/>
      <c r="AG90" s="22" t="s">
        <v>87</v>
      </c>
      <c r="AH90" s="22"/>
      <c r="AI90" s="22"/>
      <c r="AJ90" s="45"/>
      <c r="AK90" s="40" t="s">
        <v>27</v>
      </c>
      <c r="AL90" s="54">
        <v>0</v>
      </c>
      <c r="AM90" s="54">
        <f t="shared" si="3"/>
        <v>1</v>
      </c>
      <c r="AN90" s="54">
        <v>1</v>
      </c>
      <c r="AO90" s="54">
        <v>0</v>
      </c>
      <c r="AP90" s="54" t="s">
        <v>88</v>
      </c>
      <c r="AQ90" s="54">
        <v>0</v>
      </c>
      <c r="AR90" s="55" t="s">
        <v>180</v>
      </c>
    </row>
    <row r="91" spans="1:44">
      <c r="A91" s="101" t="s">
        <v>184</v>
      </c>
      <c r="B91" s="22"/>
      <c r="C91" s="22"/>
      <c r="D91" s="49">
        <f t="shared" si="2"/>
        <v>1</v>
      </c>
      <c r="E91" s="22"/>
      <c r="F91" s="22"/>
      <c r="G91" s="22"/>
      <c r="H91" s="51"/>
      <c r="I91" s="22"/>
      <c r="J91" s="22"/>
      <c r="K91" s="22"/>
      <c r="L91" s="53"/>
      <c r="M91" s="22"/>
      <c r="N91" s="22"/>
      <c r="O91" s="22"/>
      <c r="P91" s="51"/>
      <c r="Q91" s="22"/>
      <c r="R91" s="22"/>
      <c r="S91" s="22"/>
      <c r="T91" s="53"/>
      <c r="U91" s="22"/>
      <c r="V91" s="22"/>
      <c r="W91" s="22"/>
      <c r="X91" s="51"/>
      <c r="Y91" s="22"/>
      <c r="Z91" s="22"/>
      <c r="AA91" s="22"/>
      <c r="AB91" s="53"/>
      <c r="AC91" s="22"/>
      <c r="AD91" s="22"/>
      <c r="AE91" s="22"/>
      <c r="AF91" s="51" t="s">
        <v>87</v>
      </c>
      <c r="AG91" s="22"/>
      <c r="AH91" s="22"/>
      <c r="AI91" s="22"/>
      <c r="AJ91" s="45"/>
      <c r="AK91" s="40" t="s">
        <v>27</v>
      </c>
      <c r="AL91" s="54">
        <v>0</v>
      </c>
      <c r="AM91" s="54">
        <f t="shared" si="3"/>
        <v>1</v>
      </c>
      <c r="AN91" s="54">
        <v>1</v>
      </c>
      <c r="AO91" s="54">
        <v>0</v>
      </c>
      <c r="AP91" s="54" t="s">
        <v>88</v>
      </c>
      <c r="AQ91" s="54">
        <v>0</v>
      </c>
      <c r="AR91" s="55" t="s">
        <v>180</v>
      </c>
    </row>
    <row r="92" spans="1:44">
      <c r="A92" s="101" t="s">
        <v>185</v>
      </c>
      <c r="B92" s="22"/>
      <c r="C92" s="22"/>
      <c r="D92" s="49">
        <f>COUNTIF(E92:AJ92,"x")</f>
        <v>1</v>
      </c>
      <c r="E92" s="22"/>
      <c r="F92" s="22"/>
      <c r="G92" s="22"/>
      <c r="H92" s="51"/>
      <c r="I92" s="22"/>
      <c r="J92" s="22"/>
      <c r="K92" s="22"/>
      <c r="L92" s="53"/>
      <c r="M92" s="22"/>
      <c r="N92" s="22"/>
      <c r="O92" s="22"/>
      <c r="P92" s="51"/>
      <c r="Q92" s="22"/>
      <c r="R92" s="22"/>
      <c r="S92" s="22"/>
      <c r="T92" s="53"/>
      <c r="U92" s="22"/>
      <c r="V92" s="22"/>
      <c r="W92" s="22"/>
      <c r="X92" s="51"/>
      <c r="Y92" s="22"/>
      <c r="Z92" s="22"/>
      <c r="AA92" s="22"/>
      <c r="AB92" s="53"/>
      <c r="AC92" s="22"/>
      <c r="AD92" s="22"/>
      <c r="AE92" s="22" t="s">
        <v>87</v>
      </c>
      <c r="AF92" s="51"/>
      <c r="AG92" s="22"/>
      <c r="AH92" s="22"/>
      <c r="AI92" s="22"/>
      <c r="AJ92" s="45"/>
      <c r="AK92" s="40" t="s">
        <v>27</v>
      </c>
      <c r="AL92" s="54">
        <v>0</v>
      </c>
      <c r="AM92" s="54">
        <f>2^D92 - 1</f>
        <v>1</v>
      </c>
      <c r="AN92" s="54">
        <v>1</v>
      </c>
      <c r="AO92" s="54">
        <v>0</v>
      </c>
      <c r="AP92" s="54" t="s">
        <v>88</v>
      </c>
      <c r="AQ92" s="54">
        <v>0</v>
      </c>
      <c r="AR92" s="55" t="s">
        <v>180</v>
      </c>
    </row>
    <row r="93" spans="1:44">
      <c r="A93" s="101" t="s">
        <v>186</v>
      </c>
      <c r="B93" s="22"/>
      <c r="C93" s="22"/>
      <c r="D93" s="49">
        <f>COUNTIF(E93:AJ93,"x")</f>
        <v>1</v>
      </c>
      <c r="E93" s="22"/>
      <c r="F93" s="22"/>
      <c r="G93" s="22"/>
      <c r="H93" s="51"/>
      <c r="I93" s="22"/>
      <c r="J93" s="22"/>
      <c r="K93" s="22"/>
      <c r="L93" s="53"/>
      <c r="M93" s="22"/>
      <c r="N93" s="22"/>
      <c r="O93" s="22"/>
      <c r="P93" s="51"/>
      <c r="Q93" s="22"/>
      <c r="R93" s="22"/>
      <c r="S93" s="22"/>
      <c r="T93" s="53"/>
      <c r="U93" s="22"/>
      <c r="V93" s="22"/>
      <c r="W93" s="22"/>
      <c r="X93" s="51"/>
      <c r="Y93" s="22"/>
      <c r="Z93" s="22"/>
      <c r="AA93" s="22"/>
      <c r="AB93" s="53"/>
      <c r="AC93" s="22"/>
      <c r="AD93" s="22" t="s">
        <v>87</v>
      </c>
      <c r="AE93" s="22"/>
      <c r="AF93" s="51"/>
      <c r="AG93" s="22"/>
      <c r="AH93" s="22"/>
      <c r="AI93" s="22"/>
      <c r="AJ93" s="45"/>
      <c r="AK93" s="40" t="s">
        <v>27</v>
      </c>
      <c r="AL93" s="54">
        <v>0</v>
      </c>
      <c r="AM93" s="54">
        <f>2^D93 - 1</f>
        <v>1</v>
      </c>
      <c r="AN93" s="54">
        <v>1</v>
      </c>
      <c r="AO93" s="54">
        <v>0</v>
      </c>
      <c r="AP93" s="54" t="s">
        <v>88</v>
      </c>
      <c r="AQ93" s="54">
        <v>0</v>
      </c>
      <c r="AR93" s="55" t="s">
        <v>180</v>
      </c>
    </row>
    <row r="94" spans="1:44">
      <c r="A94" s="101" t="s">
        <v>187</v>
      </c>
      <c r="B94" s="22"/>
      <c r="C94" s="22"/>
      <c r="D94" s="49">
        <f>COUNTIF(E94:AJ94,"x")</f>
        <v>1</v>
      </c>
      <c r="E94" s="22"/>
      <c r="F94" s="22"/>
      <c r="G94" s="22"/>
      <c r="H94" s="51"/>
      <c r="I94" s="22"/>
      <c r="J94" s="22"/>
      <c r="K94" s="22"/>
      <c r="L94" s="53"/>
      <c r="M94" s="22"/>
      <c r="N94" s="22"/>
      <c r="O94" s="22"/>
      <c r="P94" s="51"/>
      <c r="Q94" s="22"/>
      <c r="R94" s="22"/>
      <c r="S94" s="22"/>
      <c r="T94" s="53"/>
      <c r="U94" s="22"/>
      <c r="V94" s="22"/>
      <c r="W94" s="22"/>
      <c r="X94" s="51"/>
      <c r="Y94" s="22"/>
      <c r="Z94" s="22"/>
      <c r="AA94" s="22"/>
      <c r="AB94" s="53"/>
      <c r="AC94" s="22" t="s">
        <v>87</v>
      </c>
      <c r="AD94" s="22"/>
      <c r="AE94" s="22"/>
      <c r="AF94" s="51"/>
      <c r="AG94" s="22"/>
      <c r="AH94" s="22"/>
      <c r="AI94" s="22"/>
      <c r="AJ94" s="45"/>
      <c r="AK94" s="40" t="s">
        <v>27</v>
      </c>
      <c r="AL94" s="54">
        <v>0</v>
      </c>
      <c r="AM94" s="54">
        <f>2^D94 - 1</f>
        <v>1</v>
      </c>
      <c r="AN94" s="54">
        <v>1</v>
      </c>
      <c r="AO94" s="54">
        <v>0</v>
      </c>
      <c r="AP94" s="54" t="s">
        <v>88</v>
      </c>
      <c r="AQ94" s="54">
        <v>0</v>
      </c>
      <c r="AR94" s="55" t="s">
        <v>180</v>
      </c>
    </row>
    <row r="95" spans="1:44" ht="14.45" thickBot="1">
      <c r="A95" s="102" t="s">
        <v>188</v>
      </c>
      <c r="B95" s="46"/>
      <c r="C95" s="46"/>
      <c r="D95" s="50">
        <f t="shared" si="2"/>
        <v>1</v>
      </c>
      <c r="E95" s="46"/>
      <c r="F95" s="46"/>
      <c r="G95" s="46"/>
      <c r="H95" s="52"/>
      <c r="I95" s="46"/>
      <c r="J95" s="46"/>
      <c r="K95" s="46"/>
      <c r="L95" s="63"/>
      <c r="M95" s="46"/>
      <c r="N95" s="46"/>
      <c r="O95" s="46"/>
      <c r="P95" s="52"/>
      <c r="Q95" s="46"/>
      <c r="R95" s="46"/>
      <c r="S95" s="46"/>
      <c r="T95" s="63"/>
      <c r="U95" s="46"/>
      <c r="V95" s="46"/>
      <c r="W95" s="46"/>
      <c r="X95" s="52"/>
      <c r="Y95" s="46"/>
      <c r="Z95" s="46"/>
      <c r="AA95" s="46"/>
      <c r="AB95" s="63" t="s">
        <v>87</v>
      </c>
      <c r="AC95" s="46"/>
      <c r="AD95" s="46"/>
      <c r="AE95" s="46"/>
      <c r="AF95" s="52"/>
      <c r="AG95" s="46"/>
      <c r="AH95" s="46"/>
      <c r="AI95" s="46"/>
      <c r="AJ95" s="47"/>
      <c r="AK95" s="40" t="s">
        <v>27</v>
      </c>
      <c r="AL95" s="54">
        <v>0</v>
      </c>
      <c r="AM95" s="54">
        <f t="shared" si="3"/>
        <v>1</v>
      </c>
      <c r="AN95" s="54">
        <v>1</v>
      </c>
      <c r="AO95" s="54">
        <v>0</v>
      </c>
      <c r="AP95" s="54" t="s">
        <v>88</v>
      </c>
      <c r="AQ95" s="54">
        <v>0</v>
      </c>
      <c r="AR95" s="55" t="s">
        <v>180</v>
      </c>
    </row>
    <row r="96" spans="1:44" ht="15" thickTop="1" thickBot="1"/>
    <row r="97" spans="1:44" ht="14.45" thickTop="1">
      <c r="A97" s="41" t="s">
        <v>189</v>
      </c>
      <c r="B97" s="42">
        <v>100</v>
      </c>
      <c r="C97" s="42" t="str">
        <f>DEC2HEX(B97)</f>
        <v>64</v>
      </c>
      <c r="D97" s="48" t="s">
        <v>20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4"/>
      <c r="AK97" s="22"/>
      <c r="AL97" s="22"/>
      <c r="AM97" s="22"/>
      <c r="AN97" s="22"/>
      <c r="AO97" s="22"/>
      <c r="AP97" s="22"/>
      <c r="AQ97" s="22"/>
      <c r="AR97" s="22"/>
    </row>
    <row r="98" spans="1:44" ht="14.45" thickBot="1">
      <c r="A98" s="93" t="s">
        <v>190</v>
      </c>
      <c r="B98" s="46"/>
      <c r="C98" s="46"/>
      <c r="D98" s="50">
        <f>COUNTIF(E98:AJ98,"x")</f>
        <v>1</v>
      </c>
      <c r="E98" s="46"/>
      <c r="F98" s="46"/>
      <c r="G98" s="46"/>
      <c r="H98" s="52"/>
      <c r="I98" s="46"/>
      <c r="J98" s="46"/>
      <c r="K98" s="46"/>
      <c r="L98" s="63"/>
      <c r="M98" s="46"/>
      <c r="N98" s="46"/>
      <c r="O98" s="46"/>
      <c r="P98" s="52"/>
      <c r="Q98" s="46"/>
      <c r="R98" s="46"/>
      <c r="S98" s="46"/>
      <c r="T98" s="63"/>
      <c r="U98" s="46"/>
      <c r="V98" s="46"/>
      <c r="W98" s="46"/>
      <c r="X98" s="52"/>
      <c r="Y98" s="46"/>
      <c r="Z98" s="46"/>
      <c r="AA98" s="46"/>
      <c r="AB98" s="63"/>
      <c r="AC98" s="46"/>
      <c r="AD98" s="46"/>
      <c r="AE98" s="46"/>
      <c r="AF98" s="52"/>
      <c r="AG98" s="46"/>
      <c r="AH98" s="46"/>
      <c r="AI98" s="46"/>
      <c r="AJ98" s="63" t="s">
        <v>87</v>
      </c>
      <c r="AK98" s="40" t="s">
        <v>27</v>
      </c>
      <c r="AL98" s="54">
        <v>0</v>
      </c>
      <c r="AM98" s="54">
        <f>2^D98 - 1</f>
        <v>1</v>
      </c>
      <c r="AN98" s="54">
        <v>1</v>
      </c>
      <c r="AO98" s="54">
        <v>0</v>
      </c>
      <c r="AP98" s="54" t="s">
        <v>88</v>
      </c>
      <c r="AQ98" s="54">
        <v>0</v>
      </c>
      <c r="AR98" s="55" t="s">
        <v>191</v>
      </c>
    </row>
    <row r="99" spans="1:44" ht="15" thickTop="1" thickBot="1"/>
    <row r="100" spans="1:44" ht="14.45" thickTop="1">
      <c r="A100" s="41" t="s">
        <v>192</v>
      </c>
      <c r="B100" s="42">
        <v>104</v>
      </c>
      <c r="C100" s="42" t="str">
        <f>DEC2HEX(B100)</f>
        <v>68</v>
      </c>
      <c r="D100" s="48" t="s">
        <v>20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4"/>
      <c r="AK100" s="22"/>
      <c r="AL100" s="22"/>
      <c r="AM100" s="22"/>
      <c r="AN100" s="22"/>
      <c r="AO100" s="22"/>
      <c r="AP100" s="22"/>
      <c r="AQ100" s="22"/>
      <c r="AR100" s="22"/>
    </row>
    <row r="101" spans="1:44" ht="14.45" thickBot="1">
      <c r="A101" s="93" t="s">
        <v>193</v>
      </c>
      <c r="B101" s="46"/>
      <c r="C101" s="46"/>
      <c r="D101" s="50">
        <f>COUNTIF(E101:AJ101,"x")</f>
        <v>1</v>
      </c>
      <c r="E101" s="46"/>
      <c r="F101" s="46"/>
      <c r="G101" s="46"/>
      <c r="H101" s="52"/>
      <c r="I101" s="46"/>
      <c r="J101" s="46"/>
      <c r="K101" s="46"/>
      <c r="L101" s="63"/>
      <c r="M101" s="46"/>
      <c r="N101" s="46"/>
      <c r="O101" s="46"/>
      <c r="P101" s="52"/>
      <c r="Q101" s="46"/>
      <c r="R101" s="46"/>
      <c r="S101" s="46"/>
      <c r="T101" s="63"/>
      <c r="U101" s="46"/>
      <c r="V101" s="46"/>
      <c r="W101" s="46"/>
      <c r="X101" s="52"/>
      <c r="Y101" s="46"/>
      <c r="Z101" s="46"/>
      <c r="AA101" s="46"/>
      <c r="AB101" s="63"/>
      <c r="AC101" s="46"/>
      <c r="AD101" s="46"/>
      <c r="AE101" s="46"/>
      <c r="AF101" s="52"/>
      <c r="AG101" s="46"/>
      <c r="AH101" s="46"/>
      <c r="AI101" s="46"/>
      <c r="AJ101" s="63" t="s">
        <v>87</v>
      </c>
      <c r="AK101" s="40" t="s">
        <v>27</v>
      </c>
      <c r="AL101" s="54">
        <v>0</v>
      </c>
      <c r="AM101" s="54">
        <f>2^D101 - 1</f>
        <v>1</v>
      </c>
      <c r="AN101" s="54">
        <v>1</v>
      </c>
      <c r="AO101" s="54">
        <v>0</v>
      </c>
      <c r="AP101" s="54" t="s">
        <v>88</v>
      </c>
      <c r="AQ101" s="54">
        <v>0</v>
      </c>
      <c r="AR101" s="55" t="s">
        <v>194</v>
      </c>
    </row>
    <row r="102" spans="1:44" ht="15" thickTop="1" thickBot="1"/>
    <row r="103" spans="1:44" ht="14.45" thickTop="1">
      <c r="A103" s="41" t="s">
        <v>195</v>
      </c>
      <c r="B103" s="42">
        <v>108</v>
      </c>
      <c r="C103" s="42" t="str">
        <f>DEC2HEX(B103)</f>
        <v>6C</v>
      </c>
      <c r="D103" s="48" t="s">
        <v>20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4"/>
      <c r="AK103" s="22"/>
      <c r="AL103" s="22"/>
      <c r="AM103" s="22"/>
      <c r="AN103" s="22"/>
      <c r="AO103" s="22"/>
      <c r="AP103" s="22"/>
      <c r="AQ103" s="22"/>
      <c r="AR103" s="22"/>
    </row>
    <row r="104" spans="1:44" ht="14.45" thickBot="1">
      <c r="A104" s="92" t="s">
        <v>196</v>
      </c>
      <c r="B104" s="105"/>
      <c r="C104" s="105"/>
      <c r="D104" s="49">
        <f>COUNTIF(E104:AJ104,"x")</f>
        <v>2</v>
      </c>
      <c r="E104" s="105"/>
      <c r="F104" s="105"/>
      <c r="G104" s="105"/>
      <c r="H104" s="51"/>
      <c r="I104" s="105"/>
      <c r="J104" s="105"/>
      <c r="K104" s="105"/>
      <c r="L104" s="53"/>
      <c r="M104" s="105"/>
      <c r="N104" s="105"/>
      <c r="O104" s="105"/>
      <c r="P104" s="51"/>
      <c r="Q104" s="105"/>
      <c r="R104" s="105"/>
      <c r="S104" s="105"/>
      <c r="T104" s="53"/>
      <c r="U104" s="105"/>
      <c r="V104" s="105"/>
      <c r="W104" s="105"/>
      <c r="X104" s="51"/>
      <c r="Y104" s="105"/>
      <c r="Z104" s="105"/>
      <c r="AA104" s="105"/>
      <c r="AB104" s="53"/>
      <c r="AC104" s="105"/>
      <c r="AD104" s="105"/>
      <c r="AE104" s="105"/>
      <c r="AF104" s="51"/>
      <c r="AG104" s="105"/>
      <c r="AH104" s="105"/>
      <c r="AI104" s="63" t="s">
        <v>87</v>
      </c>
      <c r="AJ104" s="63" t="s">
        <v>87</v>
      </c>
      <c r="AK104" s="40" t="s">
        <v>27</v>
      </c>
      <c r="AL104" s="54">
        <v>0</v>
      </c>
      <c r="AM104" s="54">
        <f>2^D104 - 1</f>
        <v>3</v>
      </c>
      <c r="AN104" s="54">
        <v>1</v>
      </c>
      <c r="AO104" s="54">
        <v>0</v>
      </c>
      <c r="AP104" s="54" t="s">
        <v>88</v>
      </c>
      <c r="AQ104" s="54">
        <v>0</v>
      </c>
      <c r="AR104" s="55" t="s">
        <v>197</v>
      </c>
    </row>
    <row r="105" spans="1:44" ht="15" thickTop="1" thickBot="1">
      <c r="A105" s="93" t="s">
        <v>198</v>
      </c>
      <c r="B105" s="46"/>
      <c r="C105" s="46"/>
      <c r="D105" s="50">
        <f>COUNTIF(E105:AJ105,"x")</f>
        <v>1</v>
      </c>
      <c r="E105" s="46"/>
      <c r="F105" s="46"/>
      <c r="G105" s="46"/>
      <c r="H105" s="52"/>
      <c r="I105" s="46"/>
      <c r="J105" s="46"/>
      <c r="K105" s="46"/>
      <c r="L105" s="63"/>
      <c r="M105" s="46"/>
      <c r="N105" s="46"/>
      <c r="O105" s="46"/>
      <c r="P105" s="52"/>
      <c r="Q105" s="46"/>
      <c r="R105" s="46"/>
      <c r="S105" s="46"/>
      <c r="T105" s="63"/>
      <c r="U105" s="46"/>
      <c r="V105" s="46"/>
      <c r="W105" s="46"/>
      <c r="X105" s="52"/>
      <c r="Y105" s="46"/>
      <c r="Z105" s="46"/>
      <c r="AA105" s="46"/>
      <c r="AB105" s="63"/>
      <c r="AC105" s="46"/>
      <c r="AD105" s="46"/>
      <c r="AE105" s="46"/>
      <c r="AF105" s="52"/>
      <c r="AG105" s="46"/>
      <c r="AH105" s="63" t="s">
        <v>87</v>
      </c>
      <c r="AI105" s="46"/>
      <c r="AJ105" s="47"/>
      <c r="AK105" s="40" t="s">
        <v>27</v>
      </c>
      <c r="AL105" s="54">
        <v>0</v>
      </c>
      <c r="AM105" s="54">
        <f>2^D105 - 1</f>
        <v>1</v>
      </c>
      <c r="AN105" s="54">
        <v>1</v>
      </c>
      <c r="AO105" s="54">
        <v>0</v>
      </c>
      <c r="AP105" s="54" t="s">
        <v>88</v>
      </c>
      <c r="AQ105" s="54">
        <v>0</v>
      </c>
      <c r="AR105" s="55" t="s">
        <v>199</v>
      </c>
    </row>
    <row r="106" spans="1:44" ht="15" thickTop="1" thickBot="1"/>
    <row r="107" spans="1:44" ht="14.45" thickTop="1">
      <c r="A107" s="41" t="s">
        <v>200</v>
      </c>
      <c r="B107" s="42">
        <v>112</v>
      </c>
      <c r="C107" s="42" t="str">
        <f>DEC2HEX(B107)</f>
        <v>70</v>
      </c>
      <c r="D107" s="48" t="s">
        <v>20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4"/>
      <c r="AK107" s="22"/>
      <c r="AL107" s="22"/>
      <c r="AM107" s="22"/>
      <c r="AN107" s="22"/>
      <c r="AO107" s="22"/>
      <c r="AP107" s="22"/>
      <c r="AQ107" s="22"/>
      <c r="AR107" s="22"/>
    </row>
    <row r="108" spans="1:44" ht="14.45" thickBot="1">
      <c r="A108" s="93" t="s">
        <v>201</v>
      </c>
      <c r="B108" s="46"/>
      <c r="C108" s="46"/>
      <c r="D108" s="50">
        <f>COUNTIF(E108:AJ108,"x")</f>
        <v>32</v>
      </c>
      <c r="E108" s="46" t="s">
        <v>87</v>
      </c>
      <c r="F108" s="46" t="s">
        <v>87</v>
      </c>
      <c r="G108" s="46" t="s">
        <v>87</v>
      </c>
      <c r="H108" s="52" t="s">
        <v>87</v>
      </c>
      <c r="I108" s="46" t="s">
        <v>87</v>
      </c>
      <c r="J108" s="46" t="s">
        <v>87</v>
      </c>
      <c r="K108" s="46" t="s">
        <v>87</v>
      </c>
      <c r="L108" s="63" t="s">
        <v>87</v>
      </c>
      <c r="M108" s="46" t="s">
        <v>87</v>
      </c>
      <c r="N108" s="46" t="s">
        <v>87</v>
      </c>
      <c r="O108" s="46" t="s">
        <v>87</v>
      </c>
      <c r="P108" s="52" t="s">
        <v>87</v>
      </c>
      <c r="Q108" s="46" t="s">
        <v>87</v>
      </c>
      <c r="R108" s="46" t="s">
        <v>87</v>
      </c>
      <c r="S108" s="46" t="s">
        <v>87</v>
      </c>
      <c r="T108" s="63" t="s">
        <v>87</v>
      </c>
      <c r="U108" s="46" t="s">
        <v>87</v>
      </c>
      <c r="V108" s="46" t="s">
        <v>87</v>
      </c>
      <c r="W108" s="46" t="s">
        <v>87</v>
      </c>
      <c r="X108" s="52" t="s">
        <v>87</v>
      </c>
      <c r="Y108" s="46" t="s">
        <v>87</v>
      </c>
      <c r="Z108" s="46" t="s">
        <v>87</v>
      </c>
      <c r="AA108" s="46" t="s">
        <v>87</v>
      </c>
      <c r="AB108" s="63" t="s">
        <v>87</v>
      </c>
      <c r="AC108" s="46" t="s">
        <v>87</v>
      </c>
      <c r="AD108" s="46" t="s">
        <v>87</v>
      </c>
      <c r="AE108" s="46" t="s">
        <v>87</v>
      </c>
      <c r="AF108" s="52" t="s">
        <v>87</v>
      </c>
      <c r="AG108" s="46" t="s">
        <v>87</v>
      </c>
      <c r="AH108" s="46" t="s">
        <v>87</v>
      </c>
      <c r="AI108" s="46" t="s">
        <v>87</v>
      </c>
      <c r="AJ108" s="47" t="s">
        <v>87</v>
      </c>
      <c r="AK108" s="40" t="s">
        <v>27</v>
      </c>
      <c r="AL108" s="54">
        <v>0</v>
      </c>
      <c r="AM108" s="54">
        <f>2^D108 - 1</f>
        <v>4294967295</v>
      </c>
      <c r="AN108" s="54">
        <v>1</v>
      </c>
      <c r="AO108" s="54">
        <v>0</v>
      </c>
      <c r="AP108" s="54" t="s">
        <v>88</v>
      </c>
      <c r="AQ108" s="54">
        <v>0</v>
      </c>
      <c r="AR108" s="55" t="s">
        <v>202</v>
      </c>
    </row>
    <row r="109" spans="1:44" ht="15" thickTop="1" thickBot="1"/>
    <row r="110" spans="1:44" ht="14.45" thickTop="1">
      <c r="A110" s="41" t="s">
        <v>203</v>
      </c>
      <c r="B110" s="42">
        <v>116</v>
      </c>
      <c r="C110" s="42" t="str">
        <f>DEC2HEX(B110)</f>
        <v>74</v>
      </c>
      <c r="D110" s="48" t="s">
        <v>20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4"/>
      <c r="AK110" s="22"/>
      <c r="AL110" s="22"/>
      <c r="AM110" s="22"/>
      <c r="AN110" s="22"/>
      <c r="AO110" s="22"/>
      <c r="AP110" s="22"/>
      <c r="AQ110" s="22"/>
      <c r="AR110" s="22"/>
    </row>
    <row r="111" spans="1:44" ht="14.45" thickBot="1">
      <c r="A111" s="93" t="s">
        <v>204</v>
      </c>
      <c r="B111" s="46"/>
      <c r="C111" s="46"/>
      <c r="D111" s="50">
        <f>COUNTIF(E111:AJ111,"x")</f>
        <v>32</v>
      </c>
      <c r="E111" s="46" t="s">
        <v>87</v>
      </c>
      <c r="F111" s="46" t="s">
        <v>87</v>
      </c>
      <c r="G111" s="46" t="s">
        <v>87</v>
      </c>
      <c r="H111" s="52" t="s">
        <v>87</v>
      </c>
      <c r="I111" s="46" t="s">
        <v>87</v>
      </c>
      <c r="J111" s="46" t="s">
        <v>87</v>
      </c>
      <c r="K111" s="46" t="s">
        <v>87</v>
      </c>
      <c r="L111" s="63" t="s">
        <v>87</v>
      </c>
      <c r="M111" s="46" t="s">
        <v>87</v>
      </c>
      <c r="N111" s="46" t="s">
        <v>87</v>
      </c>
      <c r="O111" s="46" t="s">
        <v>87</v>
      </c>
      <c r="P111" s="52" t="s">
        <v>87</v>
      </c>
      <c r="Q111" s="46" t="s">
        <v>87</v>
      </c>
      <c r="R111" s="46" t="s">
        <v>87</v>
      </c>
      <c r="S111" s="46" t="s">
        <v>87</v>
      </c>
      <c r="T111" s="63" t="s">
        <v>87</v>
      </c>
      <c r="U111" s="46" t="s">
        <v>87</v>
      </c>
      <c r="V111" s="46" t="s">
        <v>87</v>
      </c>
      <c r="W111" s="46" t="s">
        <v>87</v>
      </c>
      <c r="X111" s="52" t="s">
        <v>87</v>
      </c>
      <c r="Y111" s="46" t="s">
        <v>87</v>
      </c>
      <c r="Z111" s="46" t="s">
        <v>87</v>
      </c>
      <c r="AA111" s="46" t="s">
        <v>87</v>
      </c>
      <c r="AB111" s="63" t="s">
        <v>87</v>
      </c>
      <c r="AC111" s="46" t="s">
        <v>87</v>
      </c>
      <c r="AD111" s="46" t="s">
        <v>87</v>
      </c>
      <c r="AE111" s="46" t="s">
        <v>87</v>
      </c>
      <c r="AF111" s="52" t="s">
        <v>87</v>
      </c>
      <c r="AG111" s="46" t="s">
        <v>87</v>
      </c>
      <c r="AH111" s="46" t="s">
        <v>87</v>
      </c>
      <c r="AI111" s="46" t="s">
        <v>87</v>
      </c>
      <c r="AJ111" s="47" t="s">
        <v>87</v>
      </c>
      <c r="AK111" s="40" t="s">
        <v>27</v>
      </c>
      <c r="AL111" s="54">
        <v>0</v>
      </c>
      <c r="AM111" s="54">
        <f>2^D111 - 1</f>
        <v>4294967295</v>
      </c>
      <c r="AN111" s="54">
        <v>1</v>
      </c>
      <c r="AO111" s="54">
        <v>0</v>
      </c>
      <c r="AP111" s="54" t="s">
        <v>88</v>
      </c>
      <c r="AQ111" s="54">
        <v>0</v>
      </c>
      <c r="AR111" s="55" t="s">
        <v>205</v>
      </c>
    </row>
    <row r="112" spans="1:44" ht="15" thickTop="1" thickBot="1"/>
    <row r="113" spans="1:44" ht="14.45" thickTop="1">
      <c r="A113" s="41" t="s">
        <v>206</v>
      </c>
      <c r="B113" s="42">
        <v>120</v>
      </c>
      <c r="C113" s="42" t="str">
        <f>DEC2HEX(B113)</f>
        <v>78</v>
      </c>
      <c r="D113" s="48" t="s">
        <v>20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4"/>
      <c r="AK113" s="22"/>
      <c r="AL113" s="22"/>
      <c r="AM113" s="22"/>
      <c r="AN113" s="22"/>
      <c r="AO113" s="22"/>
      <c r="AP113" s="22"/>
      <c r="AQ113" s="22"/>
      <c r="AR113" s="22"/>
    </row>
    <row r="114" spans="1:44" ht="14.45" thickBot="1">
      <c r="A114" s="93" t="s">
        <v>207</v>
      </c>
      <c r="B114" s="46"/>
      <c r="C114" s="46"/>
      <c r="D114" s="50">
        <f>COUNTIF(E114:AJ114,"x")</f>
        <v>32</v>
      </c>
      <c r="E114" s="46" t="s">
        <v>87</v>
      </c>
      <c r="F114" s="46" t="s">
        <v>87</v>
      </c>
      <c r="G114" s="46" t="s">
        <v>87</v>
      </c>
      <c r="H114" s="52" t="s">
        <v>87</v>
      </c>
      <c r="I114" s="46" t="s">
        <v>87</v>
      </c>
      <c r="J114" s="46" t="s">
        <v>87</v>
      </c>
      <c r="K114" s="46" t="s">
        <v>87</v>
      </c>
      <c r="L114" s="63" t="s">
        <v>87</v>
      </c>
      <c r="M114" s="46" t="s">
        <v>87</v>
      </c>
      <c r="N114" s="46" t="s">
        <v>87</v>
      </c>
      <c r="O114" s="46" t="s">
        <v>87</v>
      </c>
      <c r="P114" s="52" t="s">
        <v>87</v>
      </c>
      <c r="Q114" s="46" t="s">
        <v>87</v>
      </c>
      <c r="R114" s="46" t="s">
        <v>87</v>
      </c>
      <c r="S114" s="46" t="s">
        <v>87</v>
      </c>
      <c r="T114" s="63" t="s">
        <v>87</v>
      </c>
      <c r="U114" s="46" t="s">
        <v>87</v>
      </c>
      <c r="V114" s="46" t="s">
        <v>87</v>
      </c>
      <c r="W114" s="46" t="s">
        <v>87</v>
      </c>
      <c r="X114" s="52" t="s">
        <v>87</v>
      </c>
      <c r="Y114" s="46" t="s">
        <v>87</v>
      </c>
      <c r="Z114" s="46" t="s">
        <v>87</v>
      </c>
      <c r="AA114" s="46" t="s">
        <v>87</v>
      </c>
      <c r="AB114" s="63" t="s">
        <v>87</v>
      </c>
      <c r="AC114" s="46" t="s">
        <v>87</v>
      </c>
      <c r="AD114" s="46" t="s">
        <v>87</v>
      </c>
      <c r="AE114" s="46" t="s">
        <v>87</v>
      </c>
      <c r="AF114" s="52" t="s">
        <v>87</v>
      </c>
      <c r="AG114" s="46" t="s">
        <v>87</v>
      </c>
      <c r="AH114" s="46" t="s">
        <v>87</v>
      </c>
      <c r="AI114" s="46" t="s">
        <v>87</v>
      </c>
      <c r="AJ114" s="47" t="s">
        <v>87</v>
      </c>
      <c r="AK114" s="40" t="s">
        <v>27</v>
      </c>
      <c r="AL114" s="54">
        <v>0</v>
      </c>
      <c r="AM114" s="54">
        <f>2^D114 - 1</f>
        <v>4294967295</v>
      </c>
      <c r="AN114" s="54">
        <v>1</v>
      </c>
      <c r="AO114" s="54">
        <v>0</v>
      </c>
      <c r="AP114" s="54" t="s">
        <v>88</v>
      </c>
      <c r="AQ114" s="54">
        <v>0</v>
      </c>
      <c r="AR114" s="55" t="s">
        <v>208</v>
      </c>
    </row>
    <row r="115" spans="1:44" ht="15" thickTop="1" thickBot="1"/>
    <row r="116" spans="1:44" ht="14.45" thickTop="1">
      <c r="A116" s="41" t="s">
        <v>69</v>
      </c>
      <c r="B116" s="42">
        <v>124</v>
      </c>
      <c r="C116" s="42" t="str">
        <f>DEC2HEX(B116)</f>
        <v>7C</v>
      </c>
      <c r="D116" s="48" t="s">
        <v>20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4"/>
      <c r="AK116" s="22"/>
      <c r="AL116" s="22"/>
      <c r="AM116" s="22"/>
      <c r="AN116" s="22"/>
      <c r="AO116" s="22"/>
      <c r="AP116" s="22"/>
      <c r="AQ116" s="22"/>
      <c r="AR116" s="22"/>
    </row>
    <row r="117" spans="1:44" ht="14.45" thickBot="1">
      <c r="A117" s="93" t="s">
        <v>209</v>
      </c>
      <c r="B117" s="46"/>
      <c r="C117" s="46"/>
      <c r="D117" s="50">
        <f>COUNTIF(E117:AJ117,"x")</f>
        <v>32</v>
      </c>
      <c r="E117" s="46" t="s">
        <v>87</v>
      </c>
      <c r="F117" s="46" t="s">
        <v>87</v>
      </c>
      <c r="G117" s="46" t="s">
        <v>87</v>
      </c>
      <c r="H117" s="52" t="s">
        <v>87</v>
      </c>
      <c r="I117" s="46" t="s">
        <v>87</v>
      </c>
      <c r="J117" s="46" t="s">
        <v>87</v>
      </c>
      <c r="K117" s="46" t="s">
        <v>87</v>
      </c>
      <c r="L117" s="63" t="s">
        <v>87</v>
      </c>
      <c r="M117" s="46" t="s">
        <v>87</v>
      </c>
      <c r="N117" s="46" t="s">
        <v>87</v>
      </c>
      <c r="O117" s="46" t="s">
        <v>87</v>
      </c>
      <c r="P117" s="52" t="s">
        <v>87</v>
      </c>
      <c r="Q117" s="46" t="s">
        <v>87</v>
      </c>
      <c r="R117" s="46" t="s">
        <v>87</v>
      </c>
      <c r="S117" s="46" t="s">
        <v>87</v>
      </c>
      <c r="T117" s="63" t="s">
        <v>87</v>
      </c>
      <c r="U117" s="46" t="s">
        <v>87</v>
      </c>
      <c r="V117" s="46" t="s">
        <v>87</v>
      </c>
      <c r="W117" s="46" t="s">
        <v>87</v>
      </c>
      <c r="X117" s="52" t="s">
        <v>87</v>
      </c>
      <c r="Y117" s="46" t="s">
        <v>87</v>
      </c>
      <c r="Z117" s="46" t="s">
        <v>87</v>
      </c>
      <c r="AA117" s="46" t="s">
        <v>87</v>
      </c>
      <c r="AB117" s="63" t="s">
        <v>87</v>
      </c>
      <c r="AC117" s="46" t="s">
        <v>87</v>
      </c>
      <c r="AD117" s="46" t="s">
        <v>87</v>
      </c>
      <c r="AE117" s="46" t="s">
        <v>87</v>
      </c>
      <c r="AF117" s="52" t="s">
        <v>87</v>
      </c>
      <c r="AG117" s="46" t="s">
        <v>87</v>
      </c>
      <c r="AH117" s="46" t="s">
        <v>87</v>
      </c>
      <c r="AI117" s="46" t="s">
        <v>87</v>
      </c>
      <c r="AJ117" s="47" t="s">
        <v>87</v>
      </c>
      <c r="AK117" s="40" t="s">
        <v>27</v>
      </c>
      <c r="AL117" s="54">
        <v>0</v>
      </c>
      <c r="AM117" s="54">
        <f>2^D117 - 1</f>
        <v>4294967295</v>
      </c>
      <c r="AN117" s="54">
        <v>1</v>
      </c>
      <c r="AO117" s="54">
        <v>0</v>
      </c>
      <c r="AP117" s="54" t="s">
        <v>88</v>
      </c>
      <c r="AQ117" s="54">
        <v>0</v>
      </c>
      <c r="AR117" s="55" t="s">
        <v>210</v>
      </c>
    </row>
    <row r="118" spans="1:44" ht="14.45" thickTop="1"/>
  </sheetData>
  <mergeCells count="8">
    <mergeCell ref="A2:B2"/>
    <mergeCell ref="A5:B5"/>
    <mergeCell ref="E2:AR2"/>
    <mergeCell ref="E3:L3"/>
    <mergeCell ref="E4:L4"/>
    <mergeCell ref="M3:AB3"/>
    <mergeCell ref="M4:AB4"/>
    <mergeCell ref="AC3:AR4"/>
  </mergeCells>
  <conditionalFormatting sqref="A9:AJ12">
    <cfRule type="cellIs" dxfId="94" priority="78" stopIfTrue="1" operator="equal">
      <formula>"x"</formula>
    </cfRule>
    <cfRule type="cellIs" priority="79" stopIfTrue="1" operator="equal">
      <formula>"x"</formula>
    </cfRule>
    <cfRule type="cellIs" priority="80" stopIfTrue="1" operator="equal">
      <formula>"x"</formula>
    </cfRule>
  </conditionalFormatting>
  <conditionalFormatting sqref="A14:AJ15">
    <cfRule type="cellIs" dxfId="93" priority="81" stopIfTrue="1" operator="equal">
      <formula>"x"</formula>
    </cfRule>
  </conditionalFormatting>
  <conditionalFormatting sqref="A17:AJ18">
    <cfRule type="cellIs" dxfId="92" priority="82" stopIfTrue="1" operator="equal">
      <formula>"x"</formula>
    </cfRule>
  </conditionalFormatting>
  <conditionalFormatting sqref="A20:AJ21">
    <cfRule type="cellIs" dxfId="91" priority="83" stopIfTrue="1" operator="equal">
      <formula>"x"</formula>
    </cfRule>
  </conditionalFormatting>
  <conditionalFormatting sqref="A23:AJ24">
    <cfRule type="cellIs" dxfId="90" priority="76" stopIfTrue="1" operator="equal">
      <formula>"x"</formula>
    </cfRule>
  </conditionalFormatting>
  <conditionalFormatting sqref="A26:AJ27">
    <cfRule type="cellIs" dxfId="89" priority="77" stopIfTrue="1" operator="equal">
      <formula>"x"</formula>
    </cfRule>
  </conditionalFormatting>
  <conditionalFormatting sqref="A29:AJ30">
    <cfRule type="cellIs" dxfId="88" priority="84" stopIfTrue="1" operator="equal">
      <formula>"x"</formula>
    </cfRule>
  </conditionalFormatting>
  <conditionalFormatting sqref="A32:AJ35">
    <cfRule type="cellIs" dxfId="87" priority="85" stopIfTrue="1" operator="equal">
      <formula>"x"</formula>
    </cfRule>
    <cfRule type="cellIs" priority="86" stopIfTrue="1" operator="equal">
      <formula>"x"</formula>
    </cfRule>
    <cfRule type="cellIs" priority="87" stopIfTrue="1" operator="equal">
      <formula>"x"</formula>
    </cfRule>
  </conditionalFormatting>
  <conditionalFormatting sqref="A37:AJ39">
    <cfRule type="cellIs" dxfId="86" priority="88" stopIfTrue="1" operator="equal">
      <formula>"x"</formula>
    </cfRule>
    <cfRule type="cellIs" priority="89" stopIfTrue="1" operator="equal">
      <formula>"x"</formula>
    </cfRule>
  </conditionalFormatting>
  <conditionalFormatting sqref="A41:AJ43">
    <cfRule type="cellIs" dxfId="85" priority="74" stopIfTrue="1" operator="equal">
      <formula>"x"</formula>
    </cfRule>
    <cfRule type="cellIs" priority="75" stopIfTrue="1" operator="equal">
      <formula>"x"</formula>
    </cfRule>
  </conditionalFormatting>
  <conditionalFormatting sqref="A45:AJ47">
    <cfRule type="cellIs" dxfId="84" priority="72" stopIfTrue="1" operator="equal">
      <formula>"x"</formula>
    </cfRule>
    <cfRule type="cellIs" priority="73" stopIfTrue="1" operator="equal">
      <formula>"x"</formula>
    </cfRule>
  </conditionalFormatting>
  <conditionalFormatting sqref="A49:AJ51">
    <cfRule type="cellIs" dxfId="83" priority="70" stopIfTrue="1" operator="equal">
      <formula>"x"</formula>
    </cfRule>
    <cfRule type="cellIs" priority="71" stopIfTrue="1" operator="equal">
      <formula>"x"</formula>
    </cfRule>
  </conditionalFormatting>
  <conditionalFormatting sqref="A53:AJ59">
    <cfRule type="cellIs" dxfId="82" priority="90" stopIfTrue="1" operator="equal">
      <formula>"x"</formula>
    </cfRule>
    <cfRule type="cellIs" priority="91" stopIfTrue="1" operator="equal">
      <formula>"x"</formula>
    </cfRule>
    <cfRule type="cellIs" priority="92" stopIfTrue="1" operator="equal">
      <formula>"x"</formula>
    </cfRule>
    <cfRule type="cellIs" priority="93" stopIfTrue="1" operator="equal">
      <formula>"x"</formula>
    </cfRule>
    <cfRule type="cellIs" priority="94" stopIfTrue="1" operator="equal">
      <formula>"x"</formula>
    </cfRule>
  </conditionalFormatting>
  <conditionalFormatting sqref="A61:AJ62">
    <cfRule type="cellIs" dxfId="81" priority="95" stopIfTrue="1" operator="equal">
      <formula>"x"</formula>
    </cfRule>
  </conditionalFormatting>
  <conditionalFormatting sqref="A64:AJ65">
    <cfRule type="cellIs" dxfId="80" priority="96" stopIfTrue="1" operator="equal">
      <formula>"x"</formula>
    </cfRule>
  </conditionalFormatting>
  <conditionalFormatting sqref="A67:AJ68">
    <cfRule type="cellIs" dxfId="79" priority="97" stopIfTrue="1" operator="equal">
      <formula>"x"</formula>
    </cfRule>
  </conditionalFormatting>
  <conditionalFormatting sqref="A82:AJ88 A90:AJ94">
    <cfRule type="cellIs" dxfId="78" priority="98" stopIfTrue="1" operator="equal">
      <formula>"x"</formula>
    </cfRule>
    <cfRule type="cellIs" priority="99" stopIfTrue="1" operator="equal">
      <formula>"x"</formula>
    </cfRule>
    <cfRule type="cellIs" priority="100" stopIfTrue="1" operator="equal">
      <formula>"x"</formula>
    </cfRule>
    <cfRule type="cellIs" priority="101" stopIfTrue="1" operator="equal">
      <formula>"x"</formula>
    </cfRule>
    <cfRule type="cellIs" priority="102" stopIfTrue="1" operator="equal">
      <formula>"x"</formula>
    </cfRule>
    <cfRule type="cellIs" priority="103" stopIfTrue="1" operator="equal">
      <formula>"x"</formula>
    </cfRule>
    <cfRule type="cellIs" priority="104" stopIfTrue="1" operator="equal">
      <formula>"x"</formula>
    </cfRule>
    <cfRule type="cellIs" priority="105" stopIfTrue="1" operator="equal">
      <formula>"x"</formula>
    </cfRule>
    <cfRule type="cellIs" priority="106" stopIfTrue="1" operator="equal">
      <formula>"x"</formula>
    </cfRule>
    <cfRule type="cellIs" priority="107" stopIfTrue="1" operator="equal">
      <formula>"x"</formula>
    </cfRule>
    <cfRule type="cellIs" priority="108" stopIfTrue="1" operator="equal">
      <formula>"x"</formula>
    </cfRule>
    <cfRule type="cellIs" priority="109" stopIfTrue="1" operator="equal">
      <formula>"x"</formula>
    </cfRule>
    <cfRule type="cellIs" priority="110" stopIfTrue="1" operator="equal">
      <formula>"x"</formula>
    </cfRule>
    <cfRule type="cellIs" priority="111" stopIfTrue="1" operator="equal">
      <formula>"x"</formula>
    </cfRule>
  </conditionalFormatting>
  <conditionalFormatting sqref="A89:AJ89">
    <cfRule type="cellIs" dxfId="77" priority="56" stopIfTrue="1" operator="equal">
      <formula>"x"</formula>
    </cfRule>
    <cfRule type="cellIs" priority="57" stopIfTrue="1" operator="equal">
      <formula>"x"</formula>
    </cfRule>
    <cfRule type="cellIs" priority="58" stopIfTrue="1" operator="equal">
      <formula>"x"</formula>
    </cfRule>
    <cfRule type="cellIs" priority="59" stopIfTrue="1" operator="equal">
      <formula>"x"</formula>
    </cfRule>
    <cfRule type="cellIs" priority="60" stopIfTrue="1" operator="equal">
      <formula>"x"</formula>
    </cfRule>
    <cfRule type="cellIs" priority="61" stopIfTrue="1" operator="equal">
      <formula>"x"</formula>
    </cfRule>
    <cfRule type="cellIs" priority="62" stopIfTrue="1" operator="equal">
      <formula>"x"</formula>
    </cfRule>
    <cfRule type="cellIs" priority="63" stopIfTrue="1" operator="equal">
      <formula>"x"</formula>
    </cfRule>
    <cfRule type="cellIs" priority="64" stopIfTrue="1" operator="equal">
      <formula>"x"</formula>
    </cfRule>
    <cfRule type="cellIs" priority="65" stopIfTrue="1" operator="equal">
      <formula>"x"</formula>
    </cfRule>
    <cfRule type="cellIs" priority="66" stopIfTrue="1" operator="equal">
      <formula>"x"</formula>
    </cfRule>
    <cfRule type="cellIs" priority="67" stopIfTrue="1" operator="equal">
      <formula>"x"</formula>
    </cfRule>
    <cfRule type="cellIs" priority="68" stopIfTrue="1" operator="equal">
      <formula>"x"</formula>
    </cfRule>
    <cfRule type="cellIs" priority="69" stopIfTrue="1" operator="equal">
      <formula>"x"</formula>
    </cfRule>
  </conditionalFormatting>
  <conditionalFormatting sqref="A95:AJ95">
    <cfRule type="cellIs" dxfId="76" priority="51" stopIfTrue="1" operator="equal">
      <formula>"x"</formula>
    </cfRule>
    <cfRule type="cellIs" priority="52" stopIfTrue="1" operator="equal">
      <formula>"x"</formula>
    </cfRule>
    <cfRule type="cellIs" priority="53" stopIfTrue="1" operator="equal">
      <formula>"x"</formula>
    </cfRule>
    <cfRule type="cellIs" priority="54" stopIfTrue="1" operator="equal">
      <formula>"x"</formula>
    </cfRule>
    <cfRule type="cellIs" priority="55" stopIfTrue="1" operator="equal">
      <formula>"x"</formula>
    </cfRule>
  </conditionalFormatting>
  <conditionalFormatting sqref="A70:AJ71">
    <cfRule type="cellIs" dxfId="75" priority="50" stopIfTrue="1" operator="equal">
      <formula>"x"</formula>
    </cfRule>
  </conditionalFormatting>
  <conditionalFormatting sqref="A73:AJ74">
    <cfRule type="cellIs" dxfId="74" priority="49" stopIfTrue="1" operator="equal">
      <formula>"x"</formula>
    </cfRule>
  </conditionalFormatting>
  <conditionalFormatting sqref="A77:AJ77 B76:AJ76">
    <cfRule type="cellIs" dxfId="73" priority="48" stopIfTrue="1" operator="equal">
      <formula>"x"</formula>
    </cfRule>
  </conditionalFormatting>
  <conditionalFormatting sqref="A76">
    <cfRule type="cellIs" dxfId="72" priority="47" stopIfTrue="1" operator="equal">
      <formula>"x"</formula>
    </cfRule>
  </conditionalFormatting>
  <conditionalFormatting sqref="A80:AJ80 B79:AJ79">
    <cfRule type="cellIs" dxfId="71" priority="46" stopIfTrue="1" operator="equal">
      <formula>"x"</formula>
    </cfRule>
  </conditionalFormatting>
  <conditionalFormatting sqref="A79">
    <cfRule type="cellIs" dxfId="70" priority="45" stopIfTrue="1" operator="equal">
      <formula>"x"</formula>
    </cfRule>
  </conditionalFormatting>
  <conditionalFormatting sqref="A97:AJ97 A98:AI98">
    <cfRule type="cellIs" dxfId="69" priority="112" stopIfTrue="1" operator="equal">
      <formula>"x"</formula>
    </cfRule>
  </conditionalFormatting>
  <conditionalFormatting sqref="AJ98">
    <cfRule type="cellIs" dxfId="68" priority="40" stopIfTrue="1" operator="equal">
      <formula>"x"</formula>
    </cfRule>
    <cfRule type="cellIs" priority="41" stopIfTrue="1" operator="equal">
      <formula>"x"</formula>
    </cfRule>
    <cfRule type="cellIs" priority="42" stopIfTrue="1" operator="equal">
      <formula>"x"</formula>
    </cfRule>
    <cfRule type="cellIs" priority="43" stopIfTrue="1" operator="equal">
      <formula>"x"</formula>
    </cfRule>
    <cfRule type="cellIs" priority="44" stopIfTrue="1" operator="equal">
      <formula>"x"</formula>
    </cfRule>
  </conditionalFormatting>
  <conditionalFormatting sqref="A100:AJ100 A101:AI101">
    <cfRule type="cellIs" dxfId="67" priority="113" stopIfTrue="1" operator="equal">
      <formula>"x"</formula>
    </cfRule>
  </conditionalFormatting>
  <conditionalFormatting sqref="AJ101">
    <cfRule type="cellIs" dxfId="66" priority="35" stopIfTrue="1" operator="equal">
      <formula>"x"</formula>
    </cfRule>
    <cfRule type="cellIs" priority="36" stopIfTrue="1" operator="equal">
      <formula>"x"</formula>
    </cfRule>
    <cfRule type="cellIs" priority="37" stopIfTrue="1" operator="equal">
      <formula>"x"</formula>
    </cfRule>
    <cfRule type="cellIs" priority="38" stopIfTrue="1" operator="equal">
      <formula>"x"</formula>
    </cfRule>
    <cfRule type="cellIs" priority="39" stopIfTrue="1" operator="equal">
      <formula>"x"</formula>
    </cfRule>
  </conditionalFormatting>
  <conditionalFormatting sqref="A103:AJ103 A105:AG105 A104:AH104 AI105:AJ105">
    <cfRule type="cellIs" dxfId="65" priority="114" stopIfTrue="1" operator="equal">
      <formula>"x"</formula>
    </cfRule>
  </conditionalFormatting>
  <conditionalFormatting sqref="A103:AJ103 A105:AG105 A104:AH104 AI105:AJ105">
    <cfRule type="cellIs" priority="115" stopIfTrue="1" operator="equal">
      <formula>"x"</formula>
    </cfRule>
  </conditionalFormatting>
  <conditionalFormatting sqref="AJ104">
    <cfRule type="cellIs" dxfId="64" priority="30" stopIfTrue="1" operator="equal">
      <formula>"x"</formula>
    </cfRule>
    <cfRule type="cellIs" priority="31" stopIfTrue="1" operator="equal">
      <formula>"x"</formula>
    </cfRule>
    <cfRule type="cellIs" priority="32" stopIfTrue="1" operator="equal">
      <formula>"x"</formula>
    </cfRule>
    <cfRule type="cellIs" priority="33" stopIfTrue="1" operator="equal">
      <formula>"x"</formula>
    </cfRule>
    <cfRule type="cellIs" priority="34" stopIfTrue="1" operator="equal">
      <formula>"x"</formula>
    </cfRule>
  </conditionalFormatting>
  <conditionalFormatting sqref="AI104">
    <cfRule type="cellIs" dxfId="63" priority="25" stopIfTrue="1" operator="equal">
      <formula>"x"</formula>
    </cfRule>
    <cfRule type="cellIs" priority="26" stopIfTrue="1" operator="equal">
      <formula>"x"</formula>
    </cfRule>
    <cfRule type="cellIs" priority="27" stopIfTrue="1" operator="equal">
      <formula>"x"</formula>
    </cfRule>
    <cfRule type="cellIs" priority="28" stopIfTrue="1" operator="equal">
      <formula>"x"</formula>
    </cfRule>
    <cfRule type="cellIs" priority="29" stopIfTrue="1" operator="equal">
      <formula>"x"</formula>
    </cfRule>
  </conditionalFormatting>
  <conditionalFormatting sqref="AH105">
    <cfRule type="cellIs" dxfId="62" priority="20" stopIfTrue="1" operator="equal">
      <formula>"x"</formula>
    </cfRule>
    <cfRule type="cellIs" priority="21" stopIfTrue="1" operator="equal">
      <formula>"x"</formula>
    </cfRule>
    <cfRule type="cellIs" priority="22" stopIfTrue="1" operator="equal">
      <formula>"x"</formula>
    </cfRule>
    <cfRule type="cellIs" priority="23" stopIfTrue="1" operator="equal">
      <formula>"x"</formula>
    </cfRule>
    <cfRule type="cellIs" priority="24" stopIfTrue="1" operator="equal">
      <formula>"x"</formula>
    </cfRule>
  </conditionalFormatting>
  <conditionalFormatting sqref="A107:AJ107 A108:D108">
    <cfRule type="cellIs" dxfId="61" priority="116" stopIfTrue="1" operator="equal">
      <formula>"x"</formula>
    </cfRule>
  </conditionalFormatting>
  <conditionalFormatting sqref="A110:AJ110 A111:D111">
    <cfRule type="cellIs" dxfId="60" priority="117" stopIfTrue="1" operator="equal">
      <formula>"x"</formula>
    </cfRule>
  </conditionalFormatting>
  <conditionalFormatting sqref="E111:AJ111">
    <cfRule type="cellIs" dxfId="59" priority="4" stopIfTrue="1" operator="equal">
      <formula>"x"</formula>
    </cfRule>
  </conditionalFormatting>
  <conditionalFormatting sqref="E108:AJ108">
    <cfRule type="cellIs" dxfId="58" priority="3" stopIfTrue="1" operator="equal">
      <formula>"x"</formula>
    </cfRule>
  </conditionalFormatting>
  <conditionalFormatting sqref="A113:AJ113 A114:D114">
    <cfRule type="cellIs" dxfId="57" priority="118" stopIfTrue="1" operator="equal">
      <formula>"x"</formula>
    </cfRule>
  </conditionalFormatting>
  <conditionalFormatting sqref="E114:AJ114">
    <cfRule type="cellIs" dxfId="56" priority="2" stopIfTrue="1" operator="equal">
      <formula>"x"</formula>
    </cfRule>
  </conditionalFormatting>
  <conditionalFormatting sqref="A116:AJ116 A117:D117">
    <cfRule type="cellIs" dxfId="55" priority="119" stopIfTrue="1" operator="equal">
      <formula>"x"</formula>
    </cfRule>
  </conditionalFormatting>
  <conditionalFormatting sqref="E117:AJ117">
    <cfRule type="cellIs" dxfId="54" priority="1" stopIfTrue="1" operator="equal">
      <formula>"x"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Add">
              <controlPr defaultSize="0" print="0" autoFill="0" autoPict="0" macro="[0]!addRegister">
                <anchor moveWithCells="1" sizeWithCells="1">
                  <from>
                    <xdr:col>29</xdr:col>
                    <xdr:colOff>83820</xdr:colOff>
                    <xdr:row>2</xdr:row>
                    <xdr:rowOff>45720</xdr:rowOff>
                  </from>
                  <to>
                    <xdr:col>38</xdr:col>
                    <xdr:colOff>198120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AddIrqReg">
              <controlPr defaultSize="0" print="0" autoFill="0" autoPict="0" macro="[0]!addIrqRegisters">
                <anchor moveWithCells="1" sizeWithCells="1">
                  <from>
                    <xdr:col>38</xdr:col>
                    <xdr:colOff>708660</xdr:colOff>
                    <xdr:row>2</xdr:row>
                    <xdr:rowOff>45720</xdr:rowOff>
                  </from>
                  <to>
                    <xdr:col>42</xdr:col>
                    <xdr:colOff>259080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Remove">
              <controlPr defaultSize="0" print="0" autoFill="0" autoPict="0" macro="[0]!removeRegister">
                <anchor moveWithCells="1" sizeWithCells="1">
                  <from>
                    <xdr:col>42</xdr:col>
                    <xdr:colOff>762000</xdr:colOff>
                    <xdr:row>2</xdr:row>
                    <xdr:rowOff>45720</xdr:rowOff>
                  </from>
                  <to>
                    <xdr:col>43</xdr:col>
                    <xdr:colOff>2286000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UpdateAddr">
              <controlPr defaultSize="0" print="0" autoFill="0" autoPict="0" macro="[0]!updateAddress">
                <anchor moveWithCells="1" sizeWithCells="1">
                  <from>
                    <xdr:col>43</xdr:col>
                    <xdr:colOff>2788920</xdr:colOff>
                    <xdr:row>2</xdr:row>
                    <xdr:rowOff>45720</xdr:rowOff>
                  </from>
                  <to>
                    <xdr:col>43</xdr:col>
                    <xdr:colOff>5128260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Collapse">
              <controlPr defaultSize="0" autoFill="0" autoLine="0" autoPict="0" macro="[0]!collapseRegisterList">
                <anchor moveWithCells="1">
                  <from>
                    <xdr:col>0</xdr:col>
                    <xdr:colOff>38100</xdr:colOff>
                    <xdr:row>4</xdr:row>
                    <xdr:rowOff>60960</xdr:rowOff>
                  </from>
                  <to>
                    <xdr:col>0</xdr:col>
                    <xdr:colOff>3436620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Summary!$L$8:$L$11</xm:f>
          </x14:formula1>
          <xm:sqref>D9 D14 D17 D20 D23 D26 D29 D32 D37 D41 D45 D49 D53 D61 D64 D67 D70 D73 D76 D79 D97 D100 D103 D107 D110 D113 D116</xm:sqref>
        </x14:dataValidation>
        <x14:dataValidation type="list" allowBlank="1" showInputMessage="1" showErrorMessage="1" xr:uid="{00000000-0002-0000-0200-000001000000}">
          <x14:formula1>
            <xm:f>Summary!$M$8:$M$13</xm:f>
          </x14:formula1>
          <xm:sqref>AK10:AK12 AK15 AK18 AK21 AK24 AK27 AK30 AK33:AK35 AK38:AK39 AK42:AK43 AK46:AK47 AK50:AK51 AK54:AK59 AK62 AK65 AK68 AK87:AK95 AK71 AK74 AK77 AK80 AK98 AK101 AK104:AK105 AK108 AK111 AK114 AK117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R164"/>
  <sheetViews>
    <sheetView showGridLines="0" zoomScale="70" zoomScaleNormal="70" workbookViewId="0">
      <pane ySplit="7" topLeftCell="A71" activePane="bottomLeft" state="frozen"/>
      <selection pane="bottomLeft" activeCell="AT90" sqref="AT90"/>
    </sheetView>
  </sheetViews>
  <sheetFormatPr defaultColWidth="11" defaultRowHeight="13.9"/>
  <cols>
    <col min="1" max="1" width="45.625" customWidth="1"/>
    <col min="2" max="3" width="7.625" customWidth="1"/>
    <col min="4" max="4" width="4.625" customWidth="1"/>
    <col min="5" max="36" width="2.125" customWidth="1"/>
    <col min="37" max="37" width="7.625" customWidth="1"/>
    <col min="38" max="38" width="6.625" customWidth="1"/>
    <col min="39" max="39" width="10.625" customWidth="1"/>
    <col min="40" max="41" width="7.625" customWidth="1"/>
    <col min="42" max="43" width="10.625" customWidth="1"/>
    <col min="44" max="44" width="70.625" customWidth="1"/>
    <col min="46" max="47" width="25.625" customWidth="1"/>
  </cols>
  <sheetData>
    <row r="2" spans="1:44">
      <c r="A2" s="115" t="s">
        <v>66</v>
      </c>
      <c r="B2" s="118"/>
      <c r="E2" s="115" t="s">
        <v>67</v>
      </c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</row>
    <row r="3" spans="1:44" ht="15" customHeight="1">
      <c r="A3" s="103" t="s">
        <v>68</v>
      </c>
      <c r="B3" s="64">
        <v>8</v>
      </c>
      <c r="E3" s="120" t="s">
        <v>18</v>
      </c>
      <c r="F3" s="121"/>
      <c r="G3" s="121"/>
      <c r="H3" s="121"/>
      <c r="I3" s="121"/>
      <c r="J3" s="121"/>
      <c r="K3" s="121"/>
      <c r="L3" s="121"/>
      <c r="M3" s="119" t="s">
        <v>211</v>
      </c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20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</row>
    <row r="4" spans="1:44" ht="15" customHeight="1">
      <c r="A4" s="103" t="s">
        <v>70</v>
      </c>
      <c r="B4" s="64">
        <v>32</v>
      </c>
      <c r="E4" s="120" t="s">
        <v>71</v>
      </c>
      <c r="F4" s="121"/>
      <c r="G4" s="121"/>
      <c r="H4" s="121"/>
      <c r="I4" s="121"/>
      <c r="J4" s="121"/>
      <c r="K4" s="121"/>
      <c r="L4" s="121"/>
      <c r="M4" s="119">
        <v>2</v>
      </c>
      <c r="N4" s="119"/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/>
      <c r="AA4" s="119"/>
      <c r="AB4" s="119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</row>
    <row r="5" spans="1:44">
      <c r="A5" s="122"/>
      <c r="B5" s="122"/>
    </row>
    <row r="6" spans="1:44">
      <c r="E6" s="34" t="s">
        <v>72</v>
      </c>
      <c r="AJ6" s="35" t="s">
        <v>73</v>
      </c>
    </row>
    <row r="7" spans="1:44" ht="25.5" customHeight="1">
      <c r="A7" s="37" t="s">
        <v>74</v>
      </c>
      <c r="B7" s="36" t="s">
        <v>75</v>
      </c>
      <c r="C7" s="36" t="s">
        <v>76</v>
      </c>
      <c r="D7" s="36" t="s">
        <v>77</v>
      </c>
      <c r="E7" s="38">
        <v>31</v>
      </c>
      <c r="F7" s="38">
        <v>30</v>
      </c>
      <c r="G7" s="38">
        <v>29</v>
      </c>
      <c r="H7" s="38">
        <v>28</v>
      </c>
      <c r="I7" s="38">
        <v>27</v>
      </c>
      <c r="J7" s="38">
        <v>26</v>
      </c>
      <c r="K7" s="38">
        <v>25</v>
      </c>
      <c r="L7" s="38">
        <v>24</v>
      </c>
      <c r="M7" s="38">
        <v>23</v>
      </c>
      <c r="N7" s="38">
        <v>22</v>
      </c>
      <c r="O7" s="38">
        <v>21</v>
      </c>
      <c r="P7" s="38">
        <v>20</v>
      </c>
      <c r="Q7" s="38">
        <v>19</v>
      </c>
      <c r="R7" s="38">
        <v>18</v>
      </c>
      <c r="S7" s="38">
        <v>17</v>
      </c>
      <c r="T7" s="38">
        <v>16</v>
      </c>
      <c r="U7" s="38">
        <v>15</v>
      </c>
      <c r="V7" s="38">
        <v>14</v>
      </c>
      <c r="W7" s="38">
        <v>13</v>
      </c>
      <c r="X7" s="38">
        <v>12</v>
      </c>
      <c r="Y7" s="38">
        <v>11</v>
      </c>
      <c r="Z7" s="38">
        <v>10</v>
      </c>
      <c r="AA7" s="38">
        <v>9</v>
      </c>
      <c r="AB7" s="38">
        <v>8</v>
      </c>
      <c r="AC7" s="38">
        <v>7</v>
      </c>
      <c r="AD7" s="38">
        <v>6</v>
      </c>
      <c r="AE7" s="38">
        <v>5</v>
      </c>
      <c r="AF7" s="38">
        <v>4</v>
      </c>
      <c r="AG7" s="38">
        <v>3</v>
      </c>
      <c r="AH7" s="38">
        <v>2</v>
      </c>
      <c r="AI7" s="38">
        <v>1</v>
      </c>
      <c r="AJ7" s="38">
        <v>0</v>
      </c>
      <c r="AK7" s="37" t="s">
        <v>78</v>
      </c>
      <c r="AL7" s="37" t="s">
        <v>79</v>
      </c>
      <c r="AM7" s="37" t="s">
        <v>80</v>
      </c>
      <c r="AN7" s="37" t="s">
        <v>81</v>
      </c>
      <c r="AO7" s="37" t="s">
        <v>82</v>
      </c>
      <c r="AP7" s="37" t="s">
        <v>83</v>
      </c>
      <c r="AQ7" s="37" t="s">
        <v>84</v>
      </c>
      <c r="AR7" s="37" t="s">
        <v>11</v>
      </c>
    </row>
    <row r="8" spans="1:44" ht="14.45" thickBot="1"/>
    <row r="9" spans="1:44" ht="14.45" thickTop="1">
      <c r="A9" s="41" t="s">
        <v>212</v>
      </c>
      <c r="B9" s="42">
        <v>0</v>
      </c>
      <c r="C9" s="42" t="str">
        <f>DEC2HEX(B9)</f>
        <v>0</v>
      </c>
      <c r="D9" s="48" t="s">
        <v>26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4"/>
      <c r="AK9" s="22"/>
      <c r="AL9" s="22"/>
      <c r="AM9" s="22"/>
      <c r="AN9" s="22"/>
      <c r="AO9" s="22"/>
      <c r="AP9" s="22"/>
      <c r="AQ9" s="22"/>
      <c r="AR9" s="22"/>
    </row>
    <row r="10" spans="1:44">
      <c r="A10" s="92" t="s">
        <v>213</v>
      </c>
      <c r="B10" s="22"/>
      <c r="C10" s="22"/>
      <c r="D10" s="49">
        <f t="shared" ref="D10:D15" si="0">COUNTIF(E10:AJ10,"x")</f>
        <v>1</v>
      </c>
      <c r="E10" s="22"/>
      <c r="F10" s="22"/>
      <c r="G10" s="22"/>
      <c r="H10" s="51"/>
      <c r="I10" s="22"/>
      <c r="J10" s="22"/>
      <c r="K10" s="22"/>
      <c r="L10" s="53"/>
      <c r="M10" s="22"/>
      <c r="N10" s="22"/>
      <c r="O10" s="22"/>
      <c r="P10" s="51"/>
      <c r="Q10" s="22"/>
      <c r="R10" s="22"/>
      <c r="S10" s="22"/>
      <c r="T10" s="53"/>
      <c r="U10" s="22"/>
      <c r="V10" s="22"/>
      <c r="W10" s="22"/>
      <c r="X10" s="51"/>
      <c r="Y10" s="22"/>
      <c r="Z10" s="22"/>
      <c r="AA10" s="22"/>
      <c r="AB10" s="53"/>
      <c r="AC10" s="22"/>
      <c r="AD10" s="22"/>
      <c r="AE10" s="22"/>
      <c r="AF10" s="51"/>
      <c r="AG10" s="22"/>
      <c r="AH10" s="22"/>
      <c r="AI10" s="22"/>
      <c r="AJ10" s="45" t="s">
        <v>87</v>
      </c>
      <c r="AK10" s="40" t="s">
        <v>27</v>
      </c>
      <c r="AL10" s="54">
        <v>0</v>
      </c>
      <c r="AM10" s="54">
        <f t="shared" ref="AM10:AM15" si="1">2^D10 - 1</f>
        <v>1</v>
      </c>
      <c r="AN10" s="54">
        <v>1</v>
      </c>
      <c r="AO10" s="54">
        <v>0</v>
      </c>
      <c r="AP10" s="54" t="s">
        <v>88</v>
      </c>
      <c r="AQ10" s="54">
        <v>0</v>
      </c>
      <c r="AR10" s="55" t="s">
        <v>214</v>
      </c>
    </row>
    <row r="11" spans="1:44">
      <c r="A11" s="92" t="s">
        <v>215</v>
      </c>
      <c r="B11" s="22"/>
      <c r="C11" s="22"/>
      <c r="D11" s="49">
        <f t="shared" si="0"/>
        <v>1</v>
      </c>
      <c r="E11" s="22"/>
      <c r="F11" s="22"/>
      <c r="G11" s="22"/>
      <c r="H11" s="51"/>
      <c r="I11" s="22"/>
      <c r="J11" s="22"/>
      <c r="K11" s="22"/>
      <c r="L11" s="53"/>
      <c r="M11" s="22"/>
      <c r="N11" s="22"/>
      <c r="O11" s="22"/>
      <c r="P11" s="51"/>
      <c r="Q11" s="22"/>
      <c r="R11" s="22"/>
      <c r="S11" s="22"/>
      <c r="T11" s="53"/>
      <c r="U11" s="22"/>
      <c r="V11" s="22"/>
      <c r="W11" s="22"/>
      <c r="X11" s="51"/>
      <c r="Y11" s="22"/>
      <c r="Z11" s="22"/>
      <c r="AA11" s="22"/>
      <c r="AB11" s="53"/>
      <c r="AC11" s="22"/>
      <c r="AD11" s="22"/>
      <c r="AE11" s="22"/>
      <c r="AF11" s="51"/>
      <c r="AG11" s="22"/>
      <c r="AH11" s="22"/>
      <c r="AI11" s="22" t="s">
        <v>87</v>
      </c>
      <c r="AJ11" s="45"/>
      <c r="AK11" s="40" t="s">
        <v>27</v>
      </c>
      <c r="AL11" s="54">
        <v>0</v>
      </c>
      <c r="AM11" s="54">
        <f t="shared" si="1"/>
        <v>1</v>
      </c>
      <c r="AN11" s="54">
        <v>1</v>
      </c>
      <c r="AO11" s="54">
        <v>0</v>
      </c>
      <c r="AP11" s="54" t="s">
        <v>88</v>
      </c>
      <c r="AQ11" s="54">
        <v>0</v>
      </c>
      <c r="AR11" s="55" t="s">
        <v>216</v>
      </c>
    </row>
    <row r="12" spans="1:44">
      <c r="A12" s="92" t="s">
        <v>217</v>
      </c>
      <c r="B12" s="22"/>
      <c r="C12" s="22"/>
      <c r="D12" s="49">
        <f t="shared" si="0"/>
        <v>1</v>
      </c>
      <c r="E12" s="22"/>
      <c r="F12" s="22"/>
      <c r="G12" s="22"/>
      <c r="H12" s="51"/>
      <c r="I12" s="22"/>
      <c r="J12" s="22"/>
      <c r="K12" s="22"/>
      <c r="L12" s="53"/>
      <c r="M12" s="22"/>
      <c r="N12" s="22"/>
      <c r="O12" s="22"/>
      <c r="P12" s="51"/>
      <c r="Q12" s="22"/>
      <c r="R12" s="22"/>
      <c r="S12" s="22"/>
      <c r="T12" s="53"/>
      <c r="U12" s="22"/>
      <c r="V12" s="22"/>
      <c r="W12" s="22"/>
      <c r="X12" s="51"/>
      <c r="Y12" s="22"/>
      <c r="Z12" s="22"/>
      <c r="AA12" s="22"/>
      <c r="AB12" s="53"/>
      <c r="AC12" s="22"/>
      <c r="AD12" s="22"/>
      <c r="AE12" s="22"/>
      <c r="AF12" s="51"/>
      <c r="AG12" s="22"/>
      <c r="AH12" s="22" t="s">
        <v>87</v>
      </c>
      <c r="AI12" s="22"/>
      <c r="AJ12" s="45"/>
      <c r="AK12" s="40" t="s">
        <v>27</v>
      </c>
      <c r="AL12" s="54">
        <v>0</v>
      </c>
      <c r="AM12" s="54">
        <f t="shared" si="1"/>
        <v>1</v>
      </c>
      <c r="AN12" s="54">
        <v>1</v>
      </c>
      <c r="AO12" s="54">
        <v>0</v>
      </c>
      <c r="AP12" s="54" t="s">
        <v>88</v>
      </c>
      <c r="AQ12" s="54">
        <v>0</v>
      </c>
      <c r="AR12" s="55" t="s">
        <v>218</v>
      </c>
    </row>
    <row r="13" spans="1:44">
      <c r="A13" s="92" t="s">
        <v>219</v>
      </c>
      <c r="B13" s="22"/>
      <c r="C13" s="22"/>
      <c r="D13" s="49">
        <f t="shared" si="0"/>
        <v>1</v>
      </c>
      <c r="E13" s="22"/>
      <c r="F13" s="22"/>
      <c r="G13" s="22"/>
      <c r="H13" s="51"/>
      <c r="I13" s="22"/>
      <c r="J13" s="22"/>
      <c r="K13" s="22"/>
      <c r="L13" s="53"/>
      <c r="M13" s="22"/>
      <c r="N13" s="22"/>
      <c r="O13" s="22"/>
      <c r="P13" s="51"/>
      <c r="Q13" s="22"/>
      <c r="R13" s="22"/>
      <c r="S13" s="22"/>
      <c r="T13" s="53"/>
      <c r="U13" s="22"/>
      <c r="V13" s="22"/>
      <c r="W13" s="22"/>
      <c r="X13" s="51"/>
      <c r="Y13" s="22"/>
      <c r="Z13" s="22"/>
      <c r="AA13" s="22"/>
      <c r="AB13" s="53"/>
      <c r="AC13" s="22"/>
      <c r="AD13" s="22"/>
      <c r="AE13" s="22"/>
      <c r="AF13" s="51"/>
      <c r="AG13" s="22" t="s">
        <v>87</v>
      </c>
      <c r="AH13" s="22"/>
      <c r="AI13" s="22"/>
      <c r="AJ13" s="45"/>
      <c r="AK13" s="40" t="s">
        <v>27</v>
      </c>
      <c r="AL13" s="54">
        <v>0</v>
      </c>
      <c r="AM13" s="54">
        <f t="shared" si="1"/>
        <v>1</v>
      </c>
      <c r="AN13" s="54">
        <v>1</v>
      </c>
      <c r="AO13" s="54">
        <v>0</v>
      </c>
      <c r="AP13" s="54" t="s">
        <v>88</v>
      </c>
      <c r="AQ13" s="54">
        <v>0</v>
      </c>
      <c r="AR13" s="55" t="s">
        <v>218</v>
      </c>
    </row>
    <row r="14" spans="1:44">
      <c r="A14" s="92" t="s">
        <v>220</v>
      </c>
      <c r="B14" s="22"/>
      <c r="C14" s="22"/>
      <c r="D14" s="49">
        <f t="shared" si="0"/>
        <v>1</v>
      </c>
      <c r="E14" s="22"/>
      <c r="F14" s="22"/>
      <c r="G14" s="22"/>
      <c r="H14" s="51"/>
      <c r="I14" s="22"/>
      <c r="J14" s="22"/>
      <c r="K14" s="22"/>
      <c r="L14" s="53"/>
      <c r="M14" s="22"/>
      <c r="N14" s="22"/>
      <c r="O14" s="22"/>
      <c r="P14" s="51"/>
      <c r="Q14" s="22"/>
      <c r="R14" s="22"/>
      <c r="S14" s="22"/>
      <c r="T14" s="53"/>
      <c r="U14" s="22"/>
      <c r="V14" s="22"/>
      <c r="W14" s="22"/>
      <c r="X14" s="51"/>
      <c r="Y14" s="22"/>
      <c r="Z14" s="22"/>
      <c r="AA14" s="22"/>
      <c r="AB14" s="53"/>
      <c r="AC14" s="22"/>
      <c r="AD14" s="22"/>
      <c r="AE14" s="22"/>
      <c r="AF14" s="51" t="s">
        <v>87</v>
      </c>
      <c r="AG14" s="22"/>
      <c r="AH14" s="22"/>
      <c r="AI14" s="22"/>
      <c r="AJ14" s="45"/>
      <c r="AK14" s="40" t="s">
        <v>27</v>
      </c>
      <c r="AL14" s="54">
        <v>0</v>
      </c>
      <c r="AM14" s="54">
        <f t="shared" si="1"/>
        <v>1</v>
      </c>
      <c r="AN14" s="54">
        <v>1</v>
      </c>
      <c r="AO14" s="54">
        <v>0</v>
      </c>
      <c r="AP14" s="54" t="s">
        <v>88</v>
      </c>
      <c r="AQ14" s="54">
        <v>0</v>
      </c>
      <c r="AR14" s="55" t="s">
        <v>218</v>
      </c>
    </row>
    <row r="15" spans="1:44" ht="14.45" thickBot="1">
      <c r="A15" s="93" t="s">
        <v>221</v>
      </c>
      <c r="B15" s="46"/>
      <c r="C15" s="46"/>
      <c r="D15" s="50">
        <f t="shared" si="0"/>
        <v>1</v>
      </c>
      <c r="E15" s="46"/>
      <c r="F15" s="46"/>
      <c r="G15" s="46"/>
      <c r="H15" s="52"/>
      <c r="I15" s="46"/>
      <c r="J15" s="46"/>
      <c r="K15" s="46"/>
      <c r="L15" s="63"/>
      <c r="M15" s="46"/>
      <c r="N15" s="46"/>
      <c r="O15" s="46"/>
      <c r="P15" s="52"/>
      <c r="Q15" s="46"/>
      <c r="R15" s="46"/>
      <c r="S15" s="46"/>
      <c r="T15" s="63"/>
      <c r="U15" s="46"/>
      <c r="V15" s="46"/>
      <c r="W15" s="46"/>
      <c r="X15" s="52"/>
      <c r="Y15" s="46"/>
      <c r="Z15" s="46"/>
      <c r="AA15" s="46"/>
      <c r="AB15" s="63"/>
      <c r="AC15" s="46"/>
      <c r="AD15" s="46"/>
      <c r="AE15" s="46" t="s">
        <v>87</v>
      </c>
      <c r="AF15" s="52"/>
      <c r="AG15" s="46"/>
      <c r="AH15" s="46"/>
      <c r="AI15" s="46"/>
      <c r="AJ15" s="47"/>
      <c r="AK15" s="40" t="s">
        <v>27</v>
      </c>
      <c r="AL15" s="54">
        <v>0</v>
      </c>
      <c r="AM15" s="54">
        <f t="shared" si="1"/>
        <v>1</v>
      </c>
      <c r="AN15" s="54">
        <v>1</v>
      </c>
      <c r="AO15" s="54">
        <v>0</v>
      </c>
      <c r="AP15" s="54" t="s">
        <v>88</v>
      </c>
      <c r="AQ15" s="54">
        <v>0</v>
      </c>
      <c r="AR15" s="55" t="s">
        <v>222</v>
      </c>
    </row>
    <row r="16" spans="1:44" ht="15" thickTop="1" thickBot="1"/>
    <row r="17" spans="1:44" ht="14.45" thickTop="1">
      <c r="A17" s="41" t="s">
        <v>223</v>
      </c>
      <c r="B17" s="42">
        <v>4</v>
      </c>
      <c r="C17" s="42" t="str">
        <f>DEC2HEX(B17)</f>
        <v>4</v>
      </c>
      <c r="D17" s="48" t="s">
        <v>20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4"/>
      <c r="AK17" s="22"/>
      <c r="AL17" s="22"/>
      <c r="AM17" s="22"/>
      <c r="AN17" s="22"/>
      <c r="AO17" s="22"/>
      <c r="AP17" s="22"/>
      <c r="AQ17" s="22"/>
      <c r="AR17" s="22"/>
    </row>
    <row r="18" spans="1:44">
      <c r="A18" s="92" t="s">
        <v>224</v>
      </c>
      <c r="B18" s="22"/>
      <c r="C18" s="22"/>
      <c r="D18" s="49">
        <f>COUNTIF(E18:AJ18,"x")</f>
        <v>1</v>
      </c>
      <c r="E18" s="22"/>
      <c r="F18" s="22"/>
      <c r="G18" s="22"/>
      <c r="H18" s="51"/>
      <c r="I18" s="22"/>
      <c r="J18" s="22"/>
      <c r="K18" s="22"/>
      <c r="L18" s="53"/>
      <c r="M18" s="22"/>
      <c r="N18" s="22"/>
      <c r="O18" s="22"/>
      <c r="P18" s="51"/>
      <c r="Q18" s="22"/>
      <c r="R18" s="22"/>
      <c r="S18" s="22"/>
      <c r="T18" s="53"/>
      <c r="U18" s="22"/>
      <c r="V18" s="22"/>
      <c r="W18" s="22"/>
      <c r="X18" s="51"/>
      <c r="Y18" s="22"/>
      <c r="Z18" s="22"/>
      <c r="AA18" s="22"/>
      <c r="AB18" s="53"/>
      <c r="AC18" s="22"/>
      <c r="AD18" s="22"/>
      <c r="AE18" s="22"/>
      <c r="AF18" s="51"/>
      <c r="AG18" s="22"/>
      <c r="AH18" s="22"/>
      <c r="AI18" s="22"/>
      <c r="AJ18" s="45" t="s">
        <v>87</v>
      </c>
      <c r="AK18" s="40" t="s">
        <v>27</v>
      </c>
      <c r="AL18" s="54">
        <v>0</v>
      </c>
      <c r="AM18" s="54">
        <f>2^D18 - 1</f>
        <v>1</v>
      </c>
      <c r="AN18" s="54">
        <v>1</v>
      </c>
      <c r="AO18" s="54">
        <v>0</v>
      </c>
      <c r="AP18" s="54" t="s">
        <v>88</v>
      </c>
      <c r="AQ18" s="54">
        <v>0</v>
      </c>
      <c r="AR18" s="55" t="s">
        <v>225</v>
      </c>
    </row>
    <row r="19" spans="1:44">
      <c r="A19" s="92" t="s">
        <v>226</v>
      </c>
      <c r="B19" s="22"/>
      <c r="C19" s="22"/>
      <c r="D19" s="49">
        <f>COUNTIF(E19:AJ19,"x")</f>
        <v>16</v>
      </c>
      <c r="E19" s="22"/>
      <c r="F19" s="22"/>
      <c r="G19" s="22"/>
      <c r="H19" s="51"/>
      <c r="I19" s="22"/>
      <c r="J19" s="22"/>
      <c r="K19" s="22"/>
      <c r="L19" s="53"/>
      <c r="M19" s="22" t="s">
        <v>87</v>
      </c>
      <c r="N19" s="22" t="s">
        <v>87</v>
      </c>
      <c r="O19" s="22" t="s">
        <v>87</v>
      </c>
      <c r="P19" s="51" t="s">
        <v>87</v>
      </c>
      <c r="Q19" s="22" t="s">
        <v>87</v>
      </c>
      <c r="R19" s="22" t="s">
        <v>87</v>
      </c>
      <c r="S19" s="22" t="s">
        <v>87</v>
      </c>
      <c r="T19" s="53" t="s">
        <v>87</v>
      </c>
      <c r="U19" s="22" t="s">
        <v>87</v>
      </c>
      <c r="V19" s="22" t="s">
        <v>87</v>
      </c>
      <c r="W19" s="22" t="s">
        <v>87</v>
      </c>
      <c r="X19" s="51" t="s">
        <v>87</v>
      </c>
      <c r="Y19" s="22" t="s">
        <v>87</v>
      </c>
      <c r="Z19" s="22" t="s">
        <v>87</v>
      </c>
      <c r="AA19" s="22" t="s">
        <v>87</v>
      </c>
      <c r="AB19" s="53" t="s">
        <v>87</v>
      </c>
      <c r="AC19" s="22"/>
      <c r="AD19" s="22"/>
      <c r="AE19" s="22"/>
      <c r="AF19" s="51"/>
      <c r="AG19" s="22"/>
      <c r="AH19" s="22"/>
      <c r="AI19" s="22"/>
      <c r="AJ19" s="45"/>
      <c r="AK19" s="40" t="s">
        <v>27</v>
      </c>
      <c r="AL19" s="54">
        <v>0</v>
      </c>
      <c r="AM19" s="54">
        <f>2^D19 - 1</f>
        <v>65535</v>
      </c>
      <c r="AN19" s="54">
        <v>1</v>
      </c>
      <c r="AO19" s="54">
        <v>0</v>
      </c>
      <c r="AP19" s="54" t="s">
        <v>88</v>
      </c>
      <c r="AQ19" s="54">
        <v>1024</v>
      </c>
      <c r="AR19" s="55" t="s">
        <v>227</v>
      </c>
    </row>
    <row r="20" spans="1:44" ht="14.45" thickBot="1">
      <c r="A20" s="93" t="s">
        <v>228</v>
      </c>
      <c r="B20" s="46"/>
      <c r="C20" s="46"/>
      <c r="D20" s="50">
        <f>COUNTIF(E20:AJ20,"x")</f>
        <v>8</v>
      </c>
      <c r="E20" s="46" t="s">
        <v>87</v>
      </c>
      <c r="F20" s="46" t="s">
        <v>87</v>
      </c>
      <c r="G20" s="46" t="s">
        <v>87</v>
      </c>
      <c r="H20" s="52" t="s">
        <v>87</v>
      </c>
      <c r="I20" s="46" t="s">
        <v>87</v>
      </c>
      <c r="J20" s="46" t="s">
        <v>87</v>
      </c>
      <c r="K20" s="46" t="s">
        <v>87</v>
      </c>
      <c r="L20" s="63" t="s">
        <v>87</v>
      </c>
      <c r="M20" s="46"/>
      <c r="N20" s="46"/>
      <c r="O20" s="46"/>
      <c r="P20" s="52"/>
      <c r="Q20" s="46"/>
      <c r="R20" s="46"/>
      <c r="S20" s="46"/>
      <c r="T20" s="63"/>
      <c r="U20" s="46"/>
      <c r="V20" s="46"/>
      <c r="W20" s="46"/>
      <c r="X20" s="52"/>
      <c r="Y20" s="46"/>
      <c r="Z20" s="46"/>
      <c r="AA20" s="46"/>
      <c r="AB20" s="63"/>
      <c r="AC20" s="46"/>
      <c r="AD20" s="46"/>
      <c r="AE20" s="46"/>
      <c r="AF20" s="52"/>
      <c r="AG20" s="46"/>
      <c r="AH20" s="46"/>
      <c r="AI20" s="46"/>
      <c r="AJ20" s="47"/>
      <c r="AK20" s="40" t="s">
        <v>27</v>
      </c>
      <c r="AL20" s="54">
        <v>0</v>
      </c>
      <c r="AM20" s="54">
        <f>2^D20 - 1</f>
        <v>255</v>
      </c>
      <c r="AN20" s="54">
        <v>1</v>
      </c>
      <c r="AO20" s="54">
        <v>0</v>
      </c>
      <c r="AP20" s="54" t="s">
        <v>88</v>
      </c>
      <c r="AQ20" s="54">
        <v>255</v>
      </c>
      <c r="AR20" s="55" t="s">
        <v>229</v>
      </c>
    </row>
    <row r="21" spans="1:44" ht="15" thickTop="1" thickBot="1"/>
    <row r="22" spans="1:44" ht="14.45" thickTop="1">
      <c r="A22" s="41" t="s">
        <v>230</v>
      </c>
      <c r="B22" s="42">
        <v>8</v>
      </c>
      <c r="C22" s="42" t="str">
        <f>DEC2HEX(B22)</f>
        <v>8</v>
      </c>
      <c r="D22" s="48" t="s">
        <v>20</v>
      </c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4"/>
      <c r="AK22" s="22"/>
      <c r="AL22" s="22"/>
      <c r="AM22" s="22"/>
      <c r="AN22" s="22"/>
      <c r="AO22" s="22"/>
      <c r="AP22" s="22"/>
      <c r="AQ22" s="22"/>
      <c r="AR22" s="22"/>
    </row>
    <row r="23" spans="1:44" ht="14.45" thickBot="1">
      <c r="A23" s="93" t="s">
        <v>231</v>
      </c>
      <c r="B23" s="46"/>
      <c r="C23" s="46"/>
      <c r="D23" s="50">
        <f>COUNTIF(E23:AJ23,"x")</f>
        <v>32</v>
      </c>
      <c r="E23" s="46" t="s">
        <v>87</v>
      </c>
      <c r="F23" s="46" t="s">
        <v>87</v>
      </c>
      <c r="G23" s="46" t="s">
        <v>87</v>
      </c>
      <c r="H23" s="52" t="s">
        <v>87</v>
      </c>
      <c r="I23" s="46" t="s">
        <v>87</v>
      </c>
      <c r="J23" s="46" t="s">
        <v>87</v>
      </c>
      <c r="K23" s="46" t="s">
        <v>87</v>
      </c>
      <c r="L23" s="63" t="s">
        <v>87</v>
      </c>
      <c r="M23" s="46" t="s">
        <v>87</v>
      </c>
      <c r="N23" s="46" t="s">
        <v>87</v>
      </c>
      <c r="O23" s="46" t="s">
        <v>87</v>
      </c>
      <c r="P23" s="52" t="s">
        <v>87</v>
      </c>
      <c r="Q23" s="46" t="s">
        <v>87</v>
      </c>
      <c r="R23" s="46" t="s">
        <v>87</v>
      </c>
      <c r="S23" s="46" t="s">
        <v>87</v>
      </c>
      <c r="T23" s="63" t="s">
        <v>87</v>
      </c>
      <c r="U23" s="46" t="s">
        <v>87</v>
      </c>
      <c r="V23" s="46" t="s">
        <v>87</v>
      </c>
      <c r="W23" s="46" t="s">
        <v>87</v>
      </c>
      <c r="X23" s="52" t="s">
        <v>87</v>
      </c>
      <c r="Y23" s="46" t="s">
        <v>87</v>
      </c>
      <c r="Z23" s="46" t="s">
        <v>87</v>
      </c>
      <c r="AA23" s="46" t="s">
        <v>87</v>
      </c>
      <c r="AB23" s="63" t="s">
        <v>87</v>
      </c>
      <c r="AC23" s="46" t="s">
        <v>87</v>
      </c>
      <c r="AD23" s="46" t="s">
        <v>87</v>
      </c>
      <c r="AE23" s="46" t="s">
        <v>87</v>
      </c>
      <c r="AF23" s="52" t="s">
        <v>87</v>
      </c>
      <c r="AG23" s="46" t="s">
        <v>87</v>
      </c>
      <c r="AH23" s="46" t="s">
        <v>87</v>
      </c>
      <c r="AI23" s="46" t="s">
        <v>87</v>
      </c>
      <c r="AJ23" s="47" t="s">
        <v>87</v>
      </c>
      <c r="AK23" s="40" t="s">
        <v>27</v>
      </c>
      <c r="AL23" s="54">
        <v>0</v>
      </c>
      <c r="AM23" s="54">
        <f>2^D23 - 1</f>
        <v>4294967295</v>
      </c>
      <c r="AN23" s="54">
        <v>1</v>
      </c>
      <c r="AO23" s="54">
        <v>0</v>
      </c>
      <c r="AP23" s="54" t="s">
        <v>88</v>
      </c>
      <c r="AQ23" s="54">
        <v>65536</v>
      </c>
      <c r="AR23" s="55" t="s">
        <v>232</v>
      </c>
    </row>
    <row r="24" spans="1:44" ht="15" thickTop="1" thickBot="1"/>
    <row r="25" spans="1:44" ht="14.45" thickTop="1">
      <c r="A25" s="41" t="s">
        <v>233</v>
      </c>
      <c r="B25" s="42">
        <v>12</v>
      </c>
      <c r="C25" s="42" t="str">
        <f>DEC2HEX(B25)</f>
        <v>C</v>
      </c>
      <c r="D25" s="48" t="s">
        <v>20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4"/>
      <c r="AK25" s="22"/>
      <c r="AL25" s="22"/>
      <c r="AM25" s="22"/>
      <c r="AN25" s="22"/>
      <c r="AO25" s="22"/>
      <c r="AP25" s="22"/>
      <c r="AQ25" s="22"/>
      <c r="AR25" s="22"/>
    </row>
    <row r="26" spans="1:44" ht="14.45" thickBot="1">
      <c r="A26" s="93" t="s">
        <v>234</v>
      </c>
      <c r="B26" s="46"/>
      <c r="C26" s="46"/>
      <c r="D26" s="50">
        <f>COUNTIF(E26:AJ26,"x")</f>
        <v>32</v>
      </c>
      <c r="E26" s="46" t="s">
        <v>87</v>
      </c>
      <c r="F26" s="46" t="s">
        <v>87</v>
      </c>
      <c r="G26" s="46" t="s">
        <v>87</v>
      </c>
      <c r="H26" s="52" t="s">
        <v>87</v>
      </c>
      <c r="I26" s="46" t="s">
        <v>87</v>
      </c>
      <c r="J26" s="46" t="s">
        <v>87</v>
      </c>
      <c r="K26" s="46" t="s">
        <v>87</v>
      </c>
      <c r="L26" s="63" t="s">
        <v>87</v>
      </c>
      <c r="M26" s="46" t="s">
        <v>87</v>
      </c>
      <c r="N26" s="46" t="s">
        <v>87</v>
      </c>
      <c r="O26" s="46" t="s">
        <v>87</v>
      </c>
      <c r="P26" s="52" t="s">
        <v>87</v>
      </c>
      <c r="Q26" s="46" t="s">
        <v>87</v>
      </c>
      <c r="R26" s="46" t="s">
        <v>87</v>
      </c>
      <c r="S26" s="46" t="s">
        <v>87</v>
      </c>
      <c r="T26" s="63" t="s">
        <v>87</v>
      </c>
      <c r="U26" s="46" t="s">
        <v>87</v>
      </c>
      <c r="V26" s="46" t="s">
        <v>87</v>
      </c>
      <c r="W26" s="46" t="s">
        <v>87</v>
      </c>
      <c r="X26" s="52" t="s">
        <v>87</v>
      </c>
      <c r="Y26" s="46" t="s">
        <v>87</v>
      </c>
      <c r="Z26" s="46" t="s">
        <v>87</v>
      </c>
      <c r="AA26" s="46" t="s">
        <v>87</v>
      </c>
      <c r="AB26" s="63" t="s">
        <v>87</v>
      </c>
      <c r="AC26" s="46" t="s">
        <v>87</v>
      </c>
      <c r="AD26" s="46" t="s">
        <v>87</v>
      </c>
      <c r="AE26" s="46" t="s">
        <v>87</v>
      </c>
      <c r="AF26" s="52" t="s">
        <v>87</v>
      </c>
      <c r="AG26" s="46" t="s">
        <v>87</v>
      </c>
      <c r="AH26" s="46" t="s">
        <v>87</v>
      </c>
      <c r="AI26" s="46" t="s">
        <v>87</v>
      </c>
      <c r="AJ26" s="47" t="s">
        <v>87</v>
      </c>
      <c r="AK26" s="40" t="s">
        <v>27</v>
      </c>
      <c r="AL26" s="54">
        <v>0</v>
      </c>
      <c r="AM26" s="54">
        <f>2^D26 - 1</f>
        <v>4294967295</v>
      </c>
      <c r="AN26" s="54">
        <v>1</v>
      </c>
      <c r="AO26" s="54">
        <v>0</v>
      </c>
      <c r="AP26" s="54" t="s">
        <v>88</v>
      </c>
      <c r="AQ26" s="54">
        <v>0</v>
      </c>
      <c r="AR26" s="55" t="s">
        <v>235</v>
      </c>
    </row>
    <row r="27" spans="1:44" ht="15" thickTop="1" thickBot="1"/>
    <row r="28" spans="1:44" ht="14.45" thickTop="1">
      <c r="A28" s="41" t="s">
        <v>236</v>
      </c>
      <c r="B28" s="42">
        <v>16</v>
      </c>
      <c r="C28" s="42" t="str">
        <f>DEC2HEX(B28)</f>
        <v>10</v>
      </c>
      <c r="D28" s="48" t="s">
        <v>23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4"/>
      <c r="AK28" s="22"/>
      <c r="AL28" s="22"/>
      <c r="AM28" s="22"/>
      <c r="AN28" s="22"/>
      <c r="AO28" s="22"/>
      <c r="AP28" s="22"/>
      <c r="AQ28" s="22"/>
      <c r="AR28" s="22"/>
    </row>
    <row r="29" spans="1:44" ht="14.45" thickBot="1">
      <c r="A29" s="93" t="s">
        <v>237</v>
      </c>
      <c r="B29" s="46"/>
      <c r="C29" s="46"/>
      <c r="D29" s="50">
        <f>COUNTIF(E29:AJ29,"x")</f>
        <v>32</v>
      </c>
      <c r="E29" s="46" t="s">
        <v>87</v>
      </c>
      <c r="F29" s="46" t="s">
        <v>87</v>
      </c>
      <c r="G29" s="46" t="s">
        <v>87</v>
      </c>
      <c r="H29" s="52" t="s">
        <v>87</v>
      </c>
      <c r="I29" s="46" t="s">
        <v>87</v>
      </c>
      <c r="J29" s="46" t="s">
        <v>87</v>
      </c>
      <c r="K29" s="46" t="s">
        <v>87</v>
      </c>
      <c r="L29" s="63" t="s">
        <v>87</v>
      </c>
      <c r="M29" s="46" t="s">
        <v>87</v>
      </c>
      <c r="N29" s="46" t="s">
        <v>87</v>
      </c>
      <c r="O29" s="46" t="s">
        <v>87</v>
      </c>
      <c r="P29" s="52" t="s">
        <v>87</v>
      </c>
      <c r="Q29" s="46" t="s">
        <v>87</v>
      </c>
      <c r="R29" s="46" t="s">
        <v>87</v>
      </c>
      <c r="S29" s="46" t="s">
        <v>87</v>
      </c>
      <c r="T29" s="63" t="s">
        <v>87</v>
      </c>
      <c r="U29" s="46" t="s">
        <v>87</v>
      </c>
      <c r="V29" s="46" t="s">
        <v>87</v>
      </c>
      <c r="W29" s="46" t="s">
        <v>87</v>
      </c>
      <c r="X29" s="52" t="s">
        <v>87</v>
      </c>
      <c r="Y29" s="46" t="s">
        <v>87</v>
      </c>
      <c r="Z29" s="46" t="s">
        <v>87</v>
      </c>
      <c r="AA29" s="46" t="s">
        <v>87</v>
      </c>
      <c r="AB29" s="63" t="s">
        <v>87</v>
      </c>
      <c r="AC29" s="46" t="s">
        <v>87</v>
      </c>
      <c r="AD29" s="46" t="s">
        <v>87</v>
      </c>
      <c r="AE29" s="46" t="s">
        <v>87</v>
      </c>
      <c r="AF29" s="52" t="s">
        <v>87</v>
      </c>
      <c r="AG29" s="46" t="s">
        <v>87</v>
      </c>
      <c r="AH29" s="46" t="s">
        <v>87</v>
      </c>
      <c r="AI29" s="46" t="s">
        <v>87</v>
      </c>
      <c r="AJ29" s="47" t="s">
        <v>87</v>
      </c>
      <c r="AK29" s="40" t="s">
        <v>27</v>
      </c>
      <c r="AL29" s="54">
        <v>0</v>
      </c>
      <c r="AM29" s="54">
        <f>2^D29 - 1</f>
        <v>4294967295</v>
      </c>
      <c r="AN29" s="54">
        <v>1</v>
      </c>
      <c r="AO29" s="54">
        <v>0</v>
      </c>
      <c r="AP29" s="54" t="s">
        <v>88</v>
      </c>
      <c r="AQ29" s="54">
        <v>0</v>
      </c>
      <c r="AR29" s="55" t="s">
        <v>238</v>
      </c>
    </row>
    <row r="30" spans="1:44" ht="15" thickTop="1" thickBot="1"/>
    <row r="31" spans="1:44" ht="14.45" thickTop="1">
      <c r="A31" s="41" t="s">
        <v>239</v>
      </c>
      <c r="B31" s="42">
        <v>20</v>
      </c>
      <c r="C31" s="42" t="str">
        <f>DEC2HEX(B31)</f>
        <v>14</v>
      </c>
      <c r="D31" s="48" t="s">
        <v>23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4"/>
      <c r="AK31" s="22"/>
      <c r="AL31" s="22"/>
      <c r="AM31" s="22"/>
      <c r="AN31" s="22"/>
      <c r="AO31" s="22"/>
      <c r="AP31" s="22"/>
      <c r="AQ31" s="22"/>
      <c r="AR31" s="22"/>
    </row>
    <row r="32" spans="1:44" ht="14.45" thickBot="1">
      <c r="A32" s="93" t="s">
        <v>240</v>
      </c>
      <c r="B32" s="46"/>
      <c r="C32" s="46"/>
      <c r="D32" s="50">
        <f>COUNTIF(E32:AJ32,"x")</f>
        <v>32</v>
      </c>
      <c r="E32" s="46" t="s">
        <v>87</v>
      </c>
      <c r="F32" s="46" t="s">
        <v>87</v>
      </c>
      <c r="G32" s="46" t="s">
        <v>87</v>
      </c>
      <c r="H32" s="52" t="s">
        <v>87</v>
      </c>
      <c r="I32" s="46" t="s">
        <v>87</v>
      </c>
      <c r="J32" s="46" t="s">
        <v>87</v>
      </c>
      <c r="K32" s="46" t="s">
        <v>87</v>
      </c>
      <c r="L32" s="63" t="s">
        <v>87</v>
      </c>
      <c r="M32" s="46" t="s">
        <v>87</v>
      </c>
      <c r="N32" s="46" t="s">
        <v>87</v>
      </c>
      <c r="O32" s="46" t="s">
        <v>87</v>
      </c>
      <c r="P32" s="52" t="s">
        <v>87</v>
      </c>
      <c r="Q32" s="46" t="s">
        <v>87</v>
      </c>
      <c r="R32" s="46" t="s">
        <v>87</v>
      </c>
      <c r="S32" s="46" t="s">
        <v>87</v>
      </c>
      <c r="T32" s="63" t="s">
        <v>87</v>
      </c>
      <c r="U32" s="46" t="s">
        <v>87</v>
      </c>
      <c r="V32" s="46" t="s">
        <v>87</v>
      </c>
      <c r="W32" s="46" t="s">
        <v>87</v>
      </c>
      <c r="X32" s="52" t="s">
        <v>87</v>
      </c>
      <c r="Y32" s="46" t="s">
        <v>87</v>
      </c>
      <c r="Z32" s="46" t="s">
        <v>87</v>
      </c>
      <c r="AA32" s="46" t="s">
        <v>87</v>
      </c>
      <c r="AB32" s="63" t="s">
        <v>87</v>
      </c>
      <c r="AC32" s="46" t="s">
        <v>87</v>
      </c>
      <c r="AD32" s="46" t="s">
        <v>87</v>
      </c>
      <c r="AE32" s="46" t="s">
        <v>87</v>
      </c>
      <c r="AF32" s="52" t="s">
        <v>87</v>
      </c>
      <c r="AG32" s="46" t="s">
        <v>87</v>
      </c>
      <c r="AH32" s="46" t="s">
        <v>87</v>
      </c>
      <c r="AI32" s="46" t="s">
        <v>87</v>
      </c>
      <c r="AJ32" s="47" t="s">
        <v>87</v>
      </c>
      <c r="AK32" s="40" t="s">
        <v>27</v>
      </c>
      <c r="AL32" s="54">
        <v>0</v>
      </c>
      <c r="AM32" s="54">
        <f>2^D32 - 1</f>
        <v>4294967295</v>
      </c>
      <c r="AN32" s="54">
        <v>1</v>
      </c>
      <c r="AO32" s="54">
        <v>0</v>
      </c>
      <c r="AP32" s="54" t="s">
        <v>88</v>
      </c>
      <c r="AQ32" s="54">
        <v>0</v>
      </c>
      <c r="AR32" s="55" t="s">
        <v>241</v>
      </c>
    </row>
    <row r="33" spans="1:44" ht="15" thickTop="1" thickBot="1"/>
    <row r="34" spans="1:44" ht="14.45" thickTop="1">
      <c r="A34" s="41" t="s">
        <v>242</v>
      </c>
      <c r="B34" s="42">
        <v>24</v>
      </c>
      <c r="C34" s="42" t="str">
        <f>DEC2HEX(B34)</f>
        <v>18</v>
      </c>
      <c r="D34" s="48" t="s">
        <v>20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4"/>
      <c r="AK34" s="22"/>
      <c r="AL34" s="22"/>
      <c r="AM34" s="22"/>
      <c r="AN34" s="22"/>
      <c r="AO34" s="22"/>
      <c r="AP34" s="22"/>
      <c r="AQ34" s="22"/>
      <c r="AR34" s="22"/>
    </row>
    <row r="35" spans="1:44">
      <c r="A35" s="92" t="s">
        <v>243</v>
      </c>
      <c r="B35" s="22"/>
      <c r="C35" s="22"/>
      <c r="D35" s="49">
        <f>COUNTIF(E35:AJ35,"x")</f>
        <v>1</v>
      </c>
      <c r="E35" s="22"/>
      <c r="F35" s="22"/>
      <c r="G35" s="22"/>
      <c r="H35" s="51"/>
      <c r="I35" s="22"/>
      <c r="J35" s="22"/>
      <c r="K35" s="22"/>
      <c r="L35" s="53"/>
      <c r="M35" s="22"/>
      <c r="N35" s="22"/>
      <c r="O35" s="22"/>
      <c r="P35" s="51"/>
      <c r="Q35" s="22"/>
      <c r="R35" s="22"/>
      <c r="S35" s="22"/>
      <c r="T35" s="53"/>
      <c r="U35" s="22"/>
      <c r="V35" s="22"/>
      <c r="W35" s="22"/>
      <c r="X35" s="51"/>
      <c r="Y35" s="22"/>
      <c r="Z35" s="22"/>
      <c r="AA35" s="22"/>
      <c r="AB35" s="53"/>
      <c r="AC35" s="22"/>
      <c r="AD35" s="22"/>
      <c r="AE35" s="22"/>
      <c r="AF35" s="51"/>
      <c r="AG35" s="22"/>
      <c r="AH35" s="22"/>
      <c r="AI35" s="22"/>
      <c r="AJ35" s="45" t="s">
        <v>87</v>
      </c>
      <c r="AK35" s="40" t="s">
        <v>27</v>
      </c>
      <c r="AL35" s="54">
        <v>0</v>
      </c>
      <c r="AM35" s="54">
        <f>2^D35 - 1</f>
        <v>1</v>
      </c>
      <c r="AN35" s="54">
        <v>1</v>
      </c>
      <c r="AO35" s="54">
        <v>0</v>
      </c>
      <c r="AP35" s="54" t="s">
        <v>88</v>
      </c>
      <c r="AQ35" s="54">
        <v>0</v>
      </c>
      <c r="AR35" s="55" t="s">
        <v>225</v>
      </c>
    </row>
    <row r="36" spans="1:44">
      <c r="A36" s="92" t="s">
        <v>244</v>
      </c>
      <c r="B36" s="22"/>
      <c r="C36" s="22"/>
      <c r="D36" s="49">
        <f>COUNTIF(E36:AJ36,"x")</f>
        <v>16</v>
      </c>
      <c r="E36" s="22"/>
      <c r="F36" s="22"/>
      <c r="G36" s="22"/>
      <c r="H36" s="51"/>
      <c r="I36" s="22"/>
      <c r="J36" s="22"/>
      <c r="K36" s="22"/>
      <c r="L36" s="53"/>
      <c r="M36" s="22" t="s">
        <v>87</v>
      </c>
      <c r="N36" s="22" t="s">
        <v>87</v>
      </c>
      <c r="O36" s="22" t="s">
        <v>87</v>
      </c>
      <c r="P36" s="51" t="s">
        <v>87</v>
      </c>
      <c r="Q36" s="22" t="s">
        <v>87</v>
      </c>
      <c r="R36" s="22" t="s">
        <v>87</v>
      </c>
      <c r="S36" s="22" t="s">
        <v>87</v>
      </c>
      <c r="T36" s="53" t="s">
        <v>87</v>
      </c>
      <c r="U36" s="22" t="s">
        <v>87</v>
      </c>
      <c r="V36" s="22" t="s">
        <v>87</v>
      </c>
      <c r="W36" s="22" t="s">
        <v>87</v>
      </c>
      <c r="X36" s="51" t="s">
        <v>87</v>
      </c>
      <c r="Y36" s="22" t="s">
        <v>87</v>
      </c>
      <c r="Z36" s="22" t="s">
        <v>87</v>
      </c>
      <c r="AA36" s="22" t="s">
        <v>87</v>
      </c>
      <c r="AB36" s="53" t="s">
        <v>87</v>
      </c>
      <c r="AC36" s="22"/>
      <c r="AD36" s="22"/>
      <c r="AE36" s="22"/>
      <c r="AF36" s="51"/>
      <c r="AG36" s="22"/>
      <c r="AH36" s="22"/>
      <c r="AI36" s="22"/>
      <c r="AJ36" s="45"/>
      <c r="AK36" s="40" t="s">
        <v>27</v>
      </c>
      <c r="AL36" s="54">
        <v>0</v>
      </c>
      <c r="AM36" s="54">
        <f>2^D36 - 1</f>
        <v>65535</v>
      </c>
      <c r="AN36" s="54">
        <v>1</v>
      </c>
      <c r="AO36" s="54">
        <v>0</v>
      </c>
      <c r="AP36" s="54" t="s">
        <v>88</v>
      </c>
      <c r="AQ36" s="54">
        <v>1024</v>
      </c>
      <c r="AR36" s="55" t="s">
        <v>227</v>
      </c>
    </row>
    <row r="37" spans="1:44" ht="14.45" thickBot="1">
      <c r="A37" s="93" t="s">
        <v>245</v>
      </c>
      <c r="B37" s="46"/>
      <c r="C37" s="46"/>
      <c r="D37" s="50">
        <f>COUNTIF(E37:AJ37,"x")</f>
        <v>8</v>
      </c>
      <c r="E37" s="46" t="s">
        <v>87</v>
      </c>
      <c r="F37" s="46" t="s">
        <v>87</v>
      </c>
      <c r="G37" s="46" t="s">
        <v>87</v>
      </c>
      <c r="H37" s="52" t="s">
        <v>87</v>
      </c>
      <c r="I37" s="46" t="s">
        <v>87</v>
      </c>
      <c r="J37" s="46" t="s">
        <v>87</v>
      </c>
      <c r="K37" s="46" t="s">
        <v>87</v>
      </c>
      <c r="L37" s="63" t="s">
        <v>87</v>
      </c>
      <c r="M37" s="46"/>
      <c r="N37" s="46"/>
      <c r="O37" s="46"/>
      <c r="P37" s="52"/>
      <c r="Q37" s="46"/>
      <c r="R37" s="46"/>
      <c r="S37" s="46"/>
      <c r="T37" s="63"/>
      <c r="U37" s="46"/>
      <c r="V37" s="46"/>
      <c r="W37" s="46"/>
      <c r="X37" s="52"/>
      <c r="Y37" s="46"/>
      <c r="Z37" s="46"/>
      <c r="AA37" s="46"/>
      <c r="AB37" s="63"/>
      <c r="AC37" s="46"/>
      <c r="AD37" s="46"/>
      <c r="AE37" s="46"/>
      <c r="AF37" s="52"/>
      <c r="AG37" s="46"/>
      <c r="AH37" s="46"/>
      <c r="AI37" s="46"/>
      <c r="AJ37" s="47"/>
      <c r="AK37" s="40" t="s">
        <v>27</v>
      </c>
      <c r="AL37" s="54">
        <v>0</v>
      </c>
      <c r="AM37" s="54">
        <f>2^D37 - 1</f>
        <v>255</v>
      </c>
      <c r="AN37" s="54">
        <v>1</v>
      </c>
      <c r="AO37" s="54">
        <v>0</v>
      </c>
      <c r="AP37" s="54" t="s">
        <v>88</v>
      </c>
      <c r="AQ37" s="54">
        <v>255</v>
      </c>
      <c r="AR37" s="55" t="s">
        <v>229</v>
      </c>
    </row>
    <row r="38" spans="1:44" ht="15" thickTop="1" thickBot="1"/>
    <row r="39" spans="1:44" ht="14.45" thickTop="1">
      <c r="A39" s="41" t="s">
        <v>246</v>
      </c>
      <c r="B39" s="42">
        <v>28</v>
      </c>
      <c r="C39" s="42" t="str">
        <f>DEC2HEX(B39)</f>
        <v>1C</v>
      </c>
      <c r="D39" s="48" t="s">
        <v>20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4"/>
      <c r="AK39" s="22"/>
      <c r="AL39" s="22"/>
      <c r="AM39" s="22"/>
      <c r="AN39" s="22"/>
      <c r="AO39" s="22"/>
      <c r="AP39" s="22"/>
      <c r="AQ39" s="22"/>
      <c r="AR39" s="22"/>
    </row>
    <row r="40" spans="1:44" ht="14.45" thickBot="1">
      <c r="A40" s="93" t="s">
        <v>247</v>
      </c>
      <c r="B40" s="46"/>
      <c r="C40" s="46"/>
      <c r="D40" s="50">
        <f>COUNTIF(E40:AJ40,"x")</f>
        <v>32</v>
      </c>
      <c r="E40" s="46" t="s">
        <v>87</v>
      </c>
      <c r="F40" s="46" t="s">
        <v>87</v>
      </c>
      <c r="G40" s="46" t="s">
        <v>87</v>
      </c>
      <c r="H40" s="52" t="s">
        <v>87</v>
      </c>
      <c r="I40" s="46" t="s">
        <v>87</v>
      </c>
      <c r="J40" s="46" t="s">
        <v>87</v>
      </c>
      <c r="K40" s="46" t="s">
        <v>87</v>
      </c>
      <c r="L40" s="63" t="s">
        <v>87</v>
      </c>
      <c r="M40" s="46" t="s">
        <v>87</v>
      </c>
      <c r="N40" s="46" t="s">
        <v>87</v>
      </c>
      <c r="O40" s="46" t="s">
        <v>87</v>
      </c>
      <c r="P40" s="52" t="s">
        <v>87</v>
      </c>
      <c r="Q40" s="46" t="s">
        <v>87</v>
      </c>
      <c r="R40" s="46" t="s">
        <v>87</v>
      </c>
      <c r="S40" s="46" t="s">
        <v>87</v>
      </c>
      <c r="T40" s="63" t="s">
        <v>87</v>
      </c>
      <c r="U40" s="46" t="s">
        <v>87</v>
      </c>
      <c r="V40" s="46" t="s">
        <v>87</v>
      </c>
      <c r="W40" s="46" t="s">
        <v>87</v>
      </c>
      <c r="X40" s="52" t="s">
        <v>87</v>
      </c>
      <c r="Y40" s="46" t="s">
        <v>87</v>
      </c>
      <c r="Z40" s="46" t="s">
        <v>87</v>
      </c>
      <c r="AA40" s="46" t="s">
        <v>87</v>
      </c>
      <c r="AB40" s="63" t="s">
        <v>87</v>
      </c>
      <c r="AC40" s="46" t="s">
        <v>87</v>
      </c>
      <c r="AD40" s="46" t="s">
        <v>87</v>
      </c>
      <c r="AE40" s="46" t="s">
        <v>87</v>
      </c>
      <c r="AF40" s="52" t="s">
        <v>87</v>
      </c>
      <c r="AG40" s="46" t="s">
        <v>87</v>
      </c>
      <c r="AH40" s="46" t="s">
        <v>87</v>
      </c>
      <c r="AI40" s="46" t="s">
        <v>87</v>
      </c>
      <c r="AJ40" s="47" t="s">
        <v>87</v>
      </c>
      <c r="AK40" s="40" t="s">
        <v>27</v>
      </c>
      <c r="AL40" s="54">
        <v>0</v>
      </c>
      <c r="AM40" s="54">
        <f>2^D40 - 1</f>
        <v>4294967295</v>
      </c>
      <c r="AN40" s="54">
        <v>1</v>
      </c>
      <c r="AO40" s="54">
        <v>0</v>
      </c>
      <c r="AP40" s="54" t="s">
        <v>88</v>
      </c>
      <c r="AQ40" s="54">
        <v>65536</v>
      </c>
      <c r="AR40" s="55" t="s">
        <v>248</v>
      </c>
    </row>
    <row r="41" spans="1:44" ht="15" thickTop="1" thickBot="1"/>
    <row r="42" spans="1:44" ht="14.45" thickTop="1">
      <c r="A42" s="41" t="s">
        <v>249</v>
      </c>
      <c r="B42" s="42">
        <v>32</v>
      </c>
      <c r="C42" s="42" t="str">
        <f>DEC2HEX(B42)</f>
        <v>20</v>
      </c>
      <c r="D42" s="48" t="s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4"/>
      <c r="AK42" s="22"/>
      <c r="AL42" s="22"/>
      <c r="AM42" s="22"/>
      <c r="AN42" s="22"/>
      <c r="AO42" s="22"/>
      <c r="AP42" s="22"/>
      <c r="AQ42" s="22"/>
      <c r="AR42" s="22"/>
    </row>
    <row r="43" spans="1:44" ht="14.45" thickBot="1">
      <c r="A43" s="93" t="s">
        <v>250</v>
      </c>
      <c r="B43" s="46"/>
      <c r="C43" s="46"/>
      <c r="D43" s="50">
        <f>COUNTIF(E43:AJ43,"x")</f>
        <v>32</v>
      </c>
      <c r="E43" s="46" t="s">
        <v>87</v>
      </c>
      <c r="F43" s="46" t="s">
        <v>87</v>
      </c>
      <c r="G43" s="46" t="s">
        <v>87</v>
      </c>
      <c r="H43" s="52" t="s">
        <v>87</v>
      </c>
      <c r="I43" s="46" t="s">
        <v>87</v>
      </c>
      <c r="J43" s="46" t="s">
        <v>87</v>
      </c>
      <c r="K43" s="46" t="s">
        <v>87</v>
      </c>
      <c r="L43" s="63" t="s">
        <v>87</v>
      </c>
      <c r="M43" s="46" t="s">
        <v>87</v>
      </c>
      <c r="N43" s="46" t="s">
        <v>87</v>
      </c>
      <c r="O43" s="46" t="s">
        <v>87</v>
      </c>
      <c r="P43" s="52" t="s">
        <v>87</v>
      </c>
      <c r="Q43" s="46" t="s">
        <v>87</v>
      </c>
      <c r="R43" s="46" t="s">
        <v>87</v>
      </c>
      <c r="S43" s="46" t="s">
        <v>87</v>
      </c>
      <c r="T43" s="63" t="s">
        <v>87</v>
      </c>
      <c r="U43" s="46" t="s">
        <v>87</v>
      </c>
      <c r="V43" s="46" t="s">
        <v>87</v>
      </c>
      <c r="W43" s="46" t="s">
        <v>87</v>
      </c>
      <c r="X43" s="52" t="s">
        <v>87</v>
      </c>
      <c r="Y43" s="46" t="s">
        <v>87</v>
      </c>
      <c r="Z43" s="46" t="s">
        <v>87</v>
      </c>
      <c r="AA43" s="46" t="s">
        <v>87</v>
      </c>
      <c r="AB43" s="63" t="s">
        <v>87</v>
      </c>
      <c r="AC43" s="46" t="s">
        <v>87</v>
      </c>
      <c r="AD43" s="46" t="s">
        <v>87</v>
      </c>
      <c r="AE43" s="46" t="s">
        <v>87</v>
      </c>
      <c r="AF43" s="52" t="s">
        <v>87</v>
      </c>
      <c r="AG43" s="46" t="s">
        <v>87</v>
      </c>
      <c r="AH43" s="46" t="s">
        <v>87</v>
      </c>
      <c r="AI43" s="46" t="s">
        <v>87</v>
      </c>
      <c r="AJ43" s="47" t="s">
        <v>87</v>
      </c>
      <c r="AK43" s="40" t="s">
        <v>27</v>
      </c>
      <c r="AL43" s="54">
        <v>0</v>
      </c>
      <c r="AM43" s="54">
        <f>2^D43 - 1</f>
        <v>4294967295</v>
      </c>
      <c r="AN43" s="54">
        <v>1</v>
      </c>
      <c r="AO43" s="54">
        <v>0</v>
      </c>
      <c r="AP43" s="54" t="s">
        <v>88</v>
      </c>
      <c r="AQ43" s="54">
        <v>0</v>
      </c>
      <c r="AR43" s="55" t="s">
        <v>251</v>
      </c>
    </row>
    <row r="44" spans="1:44" ht="15" thickTop="1" thickBot="1"/>
    <row r="45" spans="1:44" ht="14.45" thickTop="1">
      <c r="A45" s="41" t="s">
        <v>252</v>
      </c>
      <c r="B45" s="42">
        <v>36</v>
      </c>
      <c r="C45" s="42" t="str">
        <f>DEC2HEX(B45)</f>
        <v>24</v>
      </c>
      <c r="D45" s="48" t="s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4"/>
      <c r="AK45" s="22"/>
      <c r="AL45" s="22"/>
      <c r="AM45" s="22"/>
      <c r="AN45" s="22"/>
      <c r="AO45" s="22"/>
      <c r="AP45" s="22"/>
      <c r="AQ45" s="22"/>
      <c r="AR45" s="22"/>
    </row>
    <row r="46" spans="1:44" ht="14.45" thickBot="1">
      <c r="A46" s="93" t="s">
        <v>253</v>
      </c>
      <c r="B46" s="46"/>
      <c r="C46" s="46"/>
      <c r="D46" s="50">
        <f>COUNTIF(E46:AJ46,"x")</f>
        <v>32</v>
      </c>
      <c r="E46" s="46" t="s">
        <v>87</v>
      </c>
      <c r="F46" s="46" t="s">
        <v>87</v>
      </c>
      <c r="G46" s="46" t="s">
        <v>87</v>
      </c>
      <c r="H46" s="52" t="s">
        <v>87</v>
      </c>
      <c r="I46" s="46" t="s">
        <v>87</v>
      </c>
      <c r="J46" s="46" t="s">
        <v>87</v>
      </c>
      <c r="K46" s="46" t="s">
        <v>87</v>
      </c>
      <c r="L46" s="63" t="s">
        <v>87</v>
      </c>
      <c r="M46" s="46" t="s">
        <v>87</v>
      </c>
      <c r="N46" s="46" t="s">
        <v>87</v>
      </c>
      <c r="O46" s="46" t="s">
        <v>87</v>
      </c>
      <c r="P46" s="52" t="s">
        <v>87</v>
      </c>
      <c r="Q46" s="46" t="s">
        <v>87</v>
      </c>
      <c r="R46" s="46" t="s">
        <v>87</v>
      </c>
      <c r="S46" s="46" t="s">
        <v>87</v>
      </c>
      <c r="T46" s="63" t="s">
        <v>87</v>
      </c>
      <c r="U46" s="46" t="s">
        <v>87</v>
      </c>
      <c r="V46" s="46" t="s">
        <v>87</v>
      </c>
      <c r="W46" s="46" t="s">
        <v>87</v>
      </c>
      <c r="X46" s="52" t="s">
        <v>87</v>
      </c>
      <c r="Y46" s="46" t="s">
        <v>87</v>
      </c>
      <c r="Z46" s="46" t="s">
        <v>87</v>
      </c>
      <c r="AA46" s="46" t="s">
        <v>87</v>
      </c>
      <c r="AB46" s="63" t="s">
        <v>87</v>
      </c>
      <c r="AC46" s="46" t="s">
        <v>87</v>
      </c>
      <c r="AD46" s="46" t="s">
        <v>87</v>
      </c>
      <c r="AE46" s="46" t="s">
        <v>87</v>
      </c>
      <c r="AF46" s="52" t="s">
        <v>87</v>
      </c>
      <c r="AG46" s="46" t="s">
        <v>87</v>
      </c>
      <c r="AH46" s="46" t="s">
        <v>87</v>
      </c>
      <c r="AI46" s="46" t="s">
        <v>87</v>
      </c>
      <c r="AJ46" s="47" t="s">
        <v>87</v>
      </c>
      <c r="AK46" s="40" t="s">
        <v>27</v>
      </c>
      <c r="AL46" s="54">
        <v>0</v>
      </c>
      <c r="AM46" s="54">
        <f>2^D46 - 1</f>
        <v>4294967295</v>
      </c>
      <c r="AN46" s="54">
        <v>1</v>
      </c>
      <c r="AO46" s="54">
        <v>0</v>
      </c>
      <c r="AP46" s="54" t="s">
        <v>88</v>
      </c>
      <c r="AQ46" s="54">
        <v>0</v>
      </c>
      <c r="AR46" s="55" t="s">
        <v>254</v>
      </c>
    </row>
    <row r="47" spans="1:44" ht="15" thickTop="1" thickBot="1"/>
    <row r="48" spans="1:44" ht="14.45" thickTop="1">
      <c r="A48" s="41" t="s">
        <v>255</v>
      </c>
      <c r="B48" s="42">
        <v>40</v>
      </c>
      <c r="C48" s="42" t="str">
        <f>DEC2HEX(B48)</f>
        <v>28</v>
      </c>
      <c r="D48" s="48" t="s">
        <v>23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4"/>
      <c r="AK48" s="22"/>
      <c r="AL48" s="22"/>
      <c r="AM48" s="22"/>
      <c r="AN48" s="22"/>
      <c r="AO48" s="22"/>
      <c r="AP48" s="22"/>
      <c r="AQ48" s="22"/>
      <c r="AR48" s="22"/>
    </row>
    <row r="49" spans="1:44" ht="14.45" thickBot="1">
      <c r="A49" s="93" t="s">
        <v>256</v>
      </c>
      <c r="B49" s="46"/>
      <c r="C49" s="46"/>
      <c r="D49" s="50">
        <f>COUNTIF(E49:AJ49,"x")</f>
        <v>32</v>
      </c>
      <c r="E49" s="46" t="s">
        <v>87</v>
      </c>
      <c r="F49" s="46" t="s">
        <v>87</v>
      </c>
      <c r="G49" s="46" t="s">
        <v>87</v>
      </c>
      <c r="H49" s="52" t="s">
        <v>87</v>
      </c>
      <c r="I49" s="46" t="s">
        <v>87</v>
      </c>
      <c r="J49" s="46" t="s">
        <v>87</v>
      </c>
      <c r="K49" s="46" t="s">
        <v>87</v>
      </c>
      <c r="L49" s="63" t="s">
        <v>87</v>
      </c>
      <c r="M49" s="46" t="s">
        <v>87</v>
      </c>
      <c r="N49" s="46" t="s">
        <v>87</v>
      </c>
      <c r="O49" s="46" t="s">
        <v>87</v>
      </c>
      <c r="P49" s="52" t="s">
        <v>87</v>
      </c>
      <c r="Q49" s="46" t="s">
        <v>87</v>
      </c>
      <c r="R49" s="46" t="s">
        <v>87</v>
      </c>
      <c r="S49" s="46" t="s">
        <v>87</v>
      </c>
      <c r="T49" s="63" t="s">
        <v>87</v>
      </c>
      <c r="U49" s="46" t="s">
        <v>87</v>
      </c>
      <c r="V49" s="46" t="s">
        <v>87</v>
      </c>
      <c r="W49" s="46" t="s">
        <v>87</v>
      </c>
      <c r="X49" s="52" t="s">
        <v>87</v>
      </c>
      <c r="Y49" s="46" t="s">
        <v>87</v>
      </c>
      <c r="Z49" s="46" t="s">
        <v>87</v>
      </c>
      <c r="AA49" s="46" t="s">
        <v>87</v>
      </c>
      <c r="AB49" s="63" t="s">
        <v>87</v>
      </c>
      <c r="AC49" s="46" t="s">
        <v>87</v>
      </c>
      <c r="AD49" s="46" t="s">
        <v>87</v>
      </c>
      <c r="AE49" s="46" t="s">
        <v>87</v>
      </c>
      <c r="AF49" s="52" t="s">
        <v>87</v>
      </c>
      <c r="AG49" s="46" t="s">
        <v>87</v>
      </c>
      <c r="AH49" s="46" t="s">
        <v>87</v>
      </c>
      <c r="AI49" s="46" t="s">
        <v>87</v>
      </c>
      <c r="AJ49" s="47" t="s">
        <v>87</v>
      </c>
      <c r="AK49" s="40" t="s">
        <v>27</v>
      </c>
      <c r="AL49" s="54">
        <v>0</v>
      </c>
      <c r="AM49" s="54">
        <f>2^D49 - 1</f>
        <v>4294967295</v>
      </c>
      <c r="AN49" s="54">
        <v>1</v>
      </c>
      <c r="AO49" s="54">
        <v>0</v>
      </c>
      <c r="AP49" s="54" t="s">
        <v>88</v>
      </c>
      <c r="AQ49" s="54">
        <v>0</v>
      </c>
      <c r="AR49" s="55" t="s">
        <v>257</v>
      </c>
    </row>
    <row r="50" spans="1:44" ht="15" thickTop="1" thickBot="1"/>
    <row r="51" spans="1:44" ht="14.45" thickTop="1">
      <c r="A51" s="41" t="s">
        <v>258</v>
      </c>
      <c r="B51" s="42">
        <v>44</v>
      </c>
      <c r="C51" s="42" t="str">
        <f>DEC2HEX(B51)</f>
        <v>2C</v>
      </c>
      <c r="D51" s="48" t="s">
        <v>20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4"/>
      <c r="AK51" s="22"/>
      <c r="AL51" s="22"/>
      <c r="AM51" s="22"/>
      <c r="AN51" s="22"/>
      <c r="AO51" s="22"/>
      <c r="AP51" s="22"/>
      <c r="AQ51" s="22"/>
      <c r="AR51" s="22"/>
    </row>
    <row r="52" spans="1:44">
      <c r="A52" s="92" t="s">
        <v>259</v>
      </c>
      <c r="B52" s="22"/>
      <c r="C52" s="22"/>
      <c r="D52" s="49">
        <f>COUNTIF(E52:AJ52,"x")</f>
        <v>16</v>
      </c>
      <c r="E52" s="22"/>
      <c r="F52" s="22"/>
      <c r="G52" s="22"/>
      <c r="H52" s="51"/>
      <c r="I52" s="22"/>
      <c r="J52" s="22"/>
      <c r="K52" s="22"/>
      <c r="L52" s="53"/>
      <c r="M52" s="22"/>
      <c r="N52" s="22"/>
      <c r="O52" s="22"/>
      <c r="P52" s="51"/>
      <c r="Q52" s="22"/>
      <c r="R52" s="22"/>
      <c r="S52" s="22"/>
      <c r="T52" s="53"/>
      <c r="U52" s="22" t="s">
        <v>87</v>
      </c>
      <c r="V52" s="22" t="s">
        <v>87</v>
      </c>
      <c r="W52" s="22" t="s">
        <v>87</v>
      </c>
      <c r="X52" s="51" t="s">
        <v>87</v>
      </c>
      <c r="Y52" s="22" t="s">
        <v>87</v>
      </c>
      <c r="Z52" s="22" t="s">
        <v>87</v>
      </c>
      <c r="AA52" s="22" t="s">
        <v>87</v>
      </c>
      <c r="AB52" s="53" t="s">
        <v>87</v>
      </c>
      <c r="AC52" s="22" t="s">
        <v>87</v>
      </c>
      <c r="AD52" s="22" t="s">
        <v>87</v>
      </c>
      <c r="AE52" s="22" t="s">
        <v>87</v>
      </c>
      <c r="AF52" s="51" t="s">
        <v>87</v>
      </c>
      <c r="AG52" s="22" t="s">
        <v>87</v>
      </c>
      <c r="AH52" s="22" t="s">
        <v>87</v>
      </c>
      <c r="AI52" s="22" t="s">
        <v>87</v>
      </c>
      <c r="AJ52" s="45" t="s">
        <v>87</v>
      </c>
      <c r="AK52" s="40" t="s">
        <v>27</v>
      </c>
      <c r="AL52" s="54">
        <v>0</v>
      </c>
      <c r="AM52" s="54">
        <f>2^D52 - 1</f>
        <v>65535</v>
      </c>
      <c r="AN52" s="54">
        <v>1</v>
      </c>
      <c r="AO52" s="54">
        <v>0</v>
      </c>
      <c r="AP52" s="54" t="s">
        <v>88</v>
      </c>
      <c r="AQ52" s="54">
        <v>55000</v>
      </c>
      <c r="AR52" s="55" t="s">
        <v>260</v>
      </c>
    </row>
    <row r="53" spans="1:44" ht="14.45" thickBot="1">
      <c r="A53" s="93" t="s">
        <v>261</v>
      </c>
      <c r="B53" s="46"/>
      <c r="C53" s="46"/>
      <c r="D53" s="50">
        <f>COUNTIF(E53:AJ53,"x")</f>
        <v>16</v>
      </c>
      <c r="E53" s="46" t="s">
        <v>87</v>
      </c>
      <c r="F53" s="46" t="s">
        <v>87</v>
      </c>
      <c r="G53" s="46" t="s">
        <v>87</v>
      </c>
      <c r="H53" s="52" t="s">
        <v>87</v>
      </c>
      <c r="I53" s="46" t="s">
        <v>87</v>
      </c>
      <c r="J53" s="46" t="s">
        <v>87</v>
      </c>
      <c r="K53" s="46" t="s">
        <v>87</v>
      </c>
      <c r="L53" s="63" t="s">
        <v>87</v>
      </c>
      <c r="M53" s="46" t="s">
        <v>87</v>
      </c>
      <c r="N53" s="46" t="s">
        <v>87</v>
      </c>
      <c r="O53" s="46" t="s">
        <v>87</v>
      </c>
      <c r="P53" s="52" t="s">
        <v>87</v>
      </c>
      <c r="Q53" s="46" t="s">
        <v>87</v>
      </c>
      <c r="R53" s="46" t="s">
        <v>87</v>
      </c>
      <c r="S53" s="46" t="s">
        <v>87</v>
      </c>
      <c r="T53" s="63" t="s">
        <v>87</v>
      </c>
      <c r="U53" s="46"/>
      <c r="V53" s="46"/>
      <c r="W53" s="46"/>
      <c r="X53" s="52"/>
      <c r="Y53" s="46"/>
      <c r="Z53" s="46"/>
      <c r="AA53" s="46"/>
      <c r="AB53" s="63"/>
      <c r="AC53" s="46"/>
      <c r="AD53" s="46"/>
      <c r="AE53" s="46"/>
      <c r="AF53" s="52"/>
      <c r="AG53" s="46"/>
      <c r="AH53" s="46"/>
      <c r="AI53" s="46"/>
      <c r="AJ53" s="47"/>
      <c r="AK53" s="40" t="s">
        <v>27</v>
      </c>
      <c r="AL53" s="54">
        <v>0</v>
      </c>
      <c r="AM53" s="54">
        <f>2^D53 - 1</f>
        <v>65535</v>
      </c>
      <c r="AN53" s="54">
        <v>1</v>
      </c>
      <c r="AO53" s="54">
        <v>0</v>
      </c>
      <c r="AP53" s="54" t="s">
        <v>88</v>
      </c>
      <c r="AQ53" s="54">
        <v>55002</v>
      </c>
      <c r="AR53" s="55" t="s">
        <v>262</v>
      </c>
    </row>
    <row r="54" spans="1:44" ht="15" thickTop="1" thickBot="1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</row>
    <row r="55" spans="1:44" ht="14.45" thickTop="1">
      <c r="A55" s="41" t="s">
        <v>263</v>
      </c>
      <c r="B55" s="42">
        <v>48</v>
      </c>
      <c r="C55" s="42" t="str">
        <f>DEC2HEX(B55)</f>
        <v>30</v>
      </c>
      <c r="D55" s="48" t="s">
        <v>20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4"/>
      <c r="AK55" s="22"/>
      <c r="AL55" s="22"/>
      <c r="AM55" s="22"/>
      <c r="AN55" s="22"/>
      <c r="AO55" s="22"/>
      <c r="AP55" s="22"/>
      <c r="AQ55" s="22"/>
      <c r="AR55" s="22"/>
    </row>
    <row r="56" spans="1:44" ht="14.45" thickBot="1">
      <c r="A56" s="93" t="s">
        <v>264</v>
      </c>
      <c r="B56" s="46"/>
      <c r="C56" s="46"/>
      <c r="D56" s="50">
        <f>COUNTIF(E56:AJ56,"x")</f>
        <v>32</v>
      </c>
      <c r="E56" s="46" t="s">
        <v>87</v>
      </c>
      <c r="F56" s="46" t="s">
        <v>87</v>
      </c>
      <c r="G56" s="46" t="s">
        <v>87</v>
      </c>
      <c r="H56" s="52" t="s">
        <v>87</v>
      </c>
      <c r="I56" s="46" t="s">
        <v>87</v>
      </c>
      <c r="J56" s="46" t="s">
        <v>87</v>
      </c>
      <c r="K56" s="46" t="s">
        <v>87</v>
      </c>
      <c r="L56" s="63" t="s">
        <v>87</v>
      </c>
      <c r="M56" s="46" t="s">
        <v>87</v>
      </c>
      <c r="N56" s="46" t="s">
        <v>87</v>
      </c>
      <c r="O56" s="46" t="s">
        <v>87</v>
      </c>
      <c r="P56" s="52" t="s">
        <v>87</v>
      </c>
      <c r="Q56" s="46" t="s">
        <v>87</v>
      </c>
      <c r="R56" s="46" t="s">
        <v>87</v>
      </c>
      <c r="S56" s="46" t="s">
        <v>87</v>
      </c>
      <c r="T56" s="63" t="s">
        <v>87</v>
      </c>
      <c r="U56" s="46" t="s">
        <v>87</v>
      </c>
      <c r="V56" s="46" t="s">
        <v>87</v>
      </c>
      <c r="W56" s="46" t="s">
        <v>87</v>
      </c>
      <c r="X56" s="52" t="s">
        <v>87</v>
      </c>
      <c r="Y56" s="46" t="s">
        <v>87</v>
      </c>
      <c r="Z56" s="46" t="s">
        <v>87</v>
      </c>
      <c r="AA56" s="46" t="s">
        <v>87</v>
      </c>
      <c r="AB56" s="63" t="s">
        <v>87</v>
      </c>
      <c r="AC56" s="46" t="s">
        <v>87</v>
      </c>
      <c r="AD56" s="46" t="s">
        <v>87</v>
      </c>
      <c r="AE56" s="46" t="s">
        <v>87</v>
      </c>
      <c r="AF56" s="52" t="s">
        <v>87</v>
      </c>
      <c r="AG56" s="46" t="s">
        <v>87</v>
      </c>
      <c r="AH56" s="46" t="s">
        <v>87</v>
      </c>
      <c r="AI56" s="46" t="s">
        <v>87</v>
      </c>
      <c r="AJ56" s="47" t="s">
        <v>87</v>
      </c>
      <c r="AK56" s="40" t="s">
        <v>27</v>
      </c>
      <c r="AL56" s="54">
        <v>0</v>
      </c>
      <c r="AM56" s="54">
        <f>2^D56 - 1</f>
        <v>4294967295</v>
      </c>
      <c r="AN56" s="54">
        <v>1</v>
      </c>
      <c r="AO56" s="54">
        <v>0</v>
      </c>
      <c r="AP56" s="54" t="s">
        <v>88</v>
      </c>
      <c r="AQ56" s="54">
        <v>0</v>
      </c>
      <c r="AR56" s="55" t="s">
        <v>265</v>
      </c>
    </row>
    <row r="57" spans="1:44" ht="15" thickTop="1" thickBot="1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</row>
    <row r="58" spans="1:44" ht="14.45" thickTop="1">
      <c r="A58" s="41" t="s">
        <v>266</v>
      </c>
      <c r="B58" s="42">
        <v>52</v>
      </c>
      <c r="C58" s="42" t="str">
        <f>DEC2HEX(B58)</f>
        <v>34</v>
      </c>
      <c r="D58" s="48" t="s">
        <v>20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4"/>
      <c r="AK58" s="22"/>
      <c r="AL58" s="22"/>
      <c r="AM58" s="22"/>
      <c r="AN58" s="22"/>
      <c r="AO58" s="22"/>
      <c r="AP58" s="22"/>
      <c r="AQ58" s="22"/>
      <c r="AR58" s="22"/>
    </row>
    <row r="59" spans="1:44" ht="14.45" thickBot="1">
      <c r="A59" s="93" t="s">
        <v>267</v>
      </c>
      <c r="B59" s="46"/>
      <c r="C59" s="46"/>
      <c r="D59" s="50">
        <f>COUNTIF(E59:AJ59,"x")</f>
        <v>16</v>
      </c>
      <c r="E59" s="46"/>
      <c r="F59" s="46"/>
      <c r="G59" s="46"/>
      <c r="H59" s="52"/>
      <c r="I59" s="46"/>
      <c r="J59" s="46"/>
      <c r="K59" s="46"/>
      <c r="L59" s="63"/>
      <c r="M59" s="46"/>
      <c r="N59" s="46"/>
      <c r="O59" s="46"/>
      <c r="P59" s="52"/>
      <c r="Q59" s="46"/>
      <c r="R59" s="46"/>
      <c r="S59" s="46"/>
      <c r="T59" s="63"/>
      <c r="U59" s="46" t="s">
        <v>87</v>
      </c>
      <c r="V59" s="46" t="s">
        <v>87</v>
      </c>
      <c r="W59" s="46" t="s">
        <v>87</v>
      </c>
      <c r="X59" s="52" t="s">
        <v>87</v>
      </c>
      <c r="Y59" s="46" t="s">
        <v>87</v>
      </c>
      <c r="Z59" s="46" t="s">
        <v>87</v>
      </c>
      <c r="AA59" s="46" t="s">
        <v>87</v>
      </c>
      <c r="AB59" s="63" t="s">
        <v>87</v>
      </c>
      <c r="AC59" s="46" t="s">
        <v>87</v>
      </c>
      <c r="AD59" s="46" t="s">
        <v>87</v>
      </c>
      <c r="AE59" s="46" t="s">
        <v>87</v>
      </c>
      <c r="AF59" s="52" t="s">
        <v>87</v>
      </c>
      <c r="AG59" s="46" t="s">
        <v>87</v>
      </c>
      <c r="AH59" s="46" t="s">
        <v>87</v>
      </c>
      <c r="AI59" s="46" t="s">
        <v>87</v>
      </c>
      <c r="AJ59" s="47" t="s">
        <v>87</v>
      </c>
      <c r="AK59" s="40" t="s">
        <v>27</v>
      </c>
      <c r="AL59" s="54">
        <v>0</v>
      </c>
      <c r="AM59" s="54">
        <f>2^D59 - 1</f>
        <v>65535</v>
      </c>
      <c r="AN59" s="54">
        <v>1</v>
      </c>
      <c r="AO59" s="54">
        <v>0</v>
      </c>
      <c r="AP59" s="54" t="s">
        <v>88</v>
      </c>
      <c r="AQ59" s="54">
        <v>55002</v>
      </c>
      <c r="AR59" s="55" t="s">
        <v>268</v>
      </c>
    </row>
    <row r="60" spans="1:44" ht="15" thickTop="1" thickBot="1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</row>
    <row r="61" spans="1:44" ht="14.45" thickTop="1">
      <c r="A61" s="41" t="s">
        <v>174</v>
      </c>
      <c r="B61" s="43"/>
      <c r="C61" s="43"/>
      <c r="D61" s="48" t="s">
        <v>31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4"/>
      <c r="AK61" s="22"/>
      <c r="AL61" s="22"/>
      <c r="AM61" s="22"/>
      <c r="AN61" s="22"/>
      <c r="AO61" s="22"/>
      <c r="AP61" s="22"/>
      <c r="AQ61" s="22"/>
      <c r="AR61" s="22"/>
    </row>
    <row r="62" spans="1:44">
      <c r="A62" s="56" t="s">
        <v>175</v>
      </c>
      <c r="B62" s="62">
        <v>56</v>
      </c>
      <c r="C62" s="62" t="str">
        <f>DEC2HEX(B62)</f>
        <v>38</v>
      </c>
      <c r="D62" s="60"/>
      <c r="E62" s="57"/>
      <c r="F62" s="57"/>
      <c r="G62" s="57"/>
      <c r="H62" s="61"/>
      <c r="I62" s="57"/>
      <c r="J62" s="57"/>
      <c r="K62" s="57"/>
      <c r="L62" s="59"/>
      <c r="M62" s="57"/>
      <c r="N62" s="57"/>
      <c r="O62" s="57"/>
      <c r="P62" s="61"/>
      <c r="Q62" s="57"/>
      <c r="R62" s="57"/>
      <c r="S62" s="57"/>
      <c r="T62" s="59"/>
      <c r="U62" s="57"/>
      <c r="V62" s="57"/>
      <c r="W62" s="57"/>
      <c r="X62" s="61"/>
      <c r="Y62" s="57"/>
      <c r="Z62" s="57"/>
      <c r="AA62" s="57"/>
      <c r="AB62" s="59"/>
      <c r="AC62" s="57"/>
      <c r="AD62" s="57"/>
      <c r="AE62" s="57"/>
      <c r="AF62" s="61"/>
      <c r="AG62" s="57"/>
      <c r="AH62" s="57"/>
      <c r="AI62" s="57"/>
      <c r="AJ62" s="58"/>
      <c r="AK62" s="22"/>
      <c r="AL62" s="22"/>
      <c r="AM62" s="22"/>
      <c r="AN62" s="22"/>
      <c r="AO62" s="22"/>
      <c r="AP62" s="22"/>
      <c r="AQ62" s="22"/>
      <c r="AR62" s="22"/>
    </row>
    <row r="63" spans="1:44">
      <c r="A63" s="56" t="s">
        <v>176</v>
      </c>
      <c r="B63" s="62">
        <v>60</v>
      </c>
      <c r="C63" s="62" t="str">
        <f>DEC2HEX(B63)</f>
        <v>3C</v>
      </c>
      <c r="D63" s="60"/>
      <c r="E63" s="57"/>
      <c r="F63" s="57"/>
      <c r="G63" s="57"/>
      <c r="H63" s="61"/>
      <c r="I63" s="57"/>
      <c r="J63" s="57"/>
      <c r="K63" s="57"/>
      <c r="L63" s="59"/>
      <c r="M63" s="57"/>
      <c r="N63" s="57"/>
      <c r="O63" s="57"/>
      <c r="P63" s="61"/>
      <c r="Q63" s="57"/>
      <c r="R63" s="57"/>
      <c r="S63" s="57"/>
      <c r="T63" s="59"/>
      <c r="U63" s="57"/>
      <c r="V63" s="57"/>
      <c r="W63" s="57"/>
      <c r="X63" s="61"/>
      <c r="Y63" s="57"/>
      <c r="Z63" s="57"/>
      <c r="AA63" s="57"/>
      <c r="AB63" s="59"/>
      <c r="AC63" s="57"/>
      <c r="AD63" s="57"/>
      <c r="AE63" s="57"/>
      <c r="AF63" s="61"/>
      <c r="AG63" s="57"/>
      <c r="AH63" s="57"/>
      <c r="AI63" s="57"/>
      <c r="AJ63" s="58"/>
      <c r="AK63" s="22"/>
      <c r="AL63" s="22"/>
      <c r="AM63" s="22"/>
      <c r="AN63" s="22"/>
      <c r="AO63" s="22"/>
      <c r="AP63" s="22"/>
      <c r="AQ63" s="22"/>
      <c r="AR63" s="22"/>
    </row>
    <row r="64" spans="1:44">
      <c r="A64" s="56" t="s">
        <v>177</v>
      </c>
      <c r="B64" s="62">
        <v>64</v>
      </c>
      <c r="C64" s="62" t="str">
        <f>DEC2HEX(B64)</f>
        <v>40</v>
      </c>
      <c r="D64" s="60"/>
      <c r="E64" s="57"/>
      <c r="F64" s="57"/>
      <c r="G64" s="57"/>
      <c r="H64" s="61"/>
      <c r="I64" s="57"/>
      <c r="J64" s="57"/>
      <c r="K64" s="57"/>
      <c r="L64" s="59"/>
      <c r="M64" s="57"/>
      <c r="N64" s="57"/>
      <c r="O64" s="57"/>
      <c r="P64" s="61"/>
      <c r="Q64" s="57"/>
      <c r="R64" s="57"/>
      <c r="S64" s="57"/>
      <c r="T64" s="59"/>
      <c r="U64" s="57"/>
      <c r="V64" s="57"/>
      <c r="W64" s="57"/>
      <c r="X64" s="61"/>
      <c r="Y64" s="57"/>
      <c r="Z64" s="57"/>
      <c r="AA64" s="57"/>
      <c r="AB64" s="59"/>
      <c r="AC64" s="57"/>
      <c r="AD64" s="57"/>
      <c r="AE64" s="57"/>
      <c r="AF64" s="61"/>
      <c r="AG64" s="57"/>
      <c r="AH64" s="57"/>
      <c r="AI64" s="57"/>
      <c r="AJ64" s="58"/>
      <c r="AK64" s="22"/>
      <c r="AL64" s="22"/>
      <c r="AM64" s="22"/>
      <c r="AN64" s="22"/>
      <c r="AO64" s="22"/>
      <c r="AP64" s="22"/>
      <c r="AQ64" s="22"/>
      <c r="AR64" s="22"/>
    </row>
    <row r="65" spans="1:44">
      <c r="A65" s="56" t="s">
        <v>178</v>
      </c>
      <c r="B65" s="62">
        <v>68</v>
      </c>
      <c r="C65" s="62" t="str">
        <f>DEC2HEX(B65)</f>
        <v>44</v>
      </c>
      <c r="D65" s="60"/>
      <c r="E65" s="57"/>
      <c r="F65" s="57"/>
      <c r="G65" s="57"/>
      <c r="H65" s="61"/>
      <c r="I65" s="57"/>
      <c r="J65" s="57"/>
      <c r="K65" s="57"/>
      <c r="L65" s="59"/>
      <c r="M65" s="57"/>
      <c r="N65" s="57"/>
      <c r="O65" s="57"/>
      <c r="P65" s="61"/>
      <c r="Q65" s="57"/>
      <c r="R65" s="57"/>
      <c r="S65" s="57"/>
      <c r="T65" s="59"/>
      <c r="U65" s="57"/>
      <c r="V65" s="57"/>
      <c r="W65" s="57"/>
      <c r="X65" s="61"/>
      <c r="Y65" s="57"/>
      <c r="Z65" s="57"/>
      <c r="AA65" s="57"/>
      <c r="AB65" s="59"/>
      <c r="AC65" s="57"/>
      <c r="AD65" s="57"/>
      <c r="AE65" s="57"/>
      <c r="AF65" s="61"/>
      <c r="AG65" s="57"/>
      <c r="AH65" s="57"/>
      <c r="AI65" s="57"/>
      <c r="AJ65" s="58"/>
      <c r="AK65" s="22"/>
      <c r="AL65" s="22"/>
      <c r="AM65" s="22"/>
      <c r="AN65" s="22"/>
      <c r="AO65" s="22"/>
      <c r="AP65" s="22"/>
      <c r="AQ65" s="22"/>
      <c r="AR65" s="22"/>
    </row>
    <row r="66" spans="1:44">
      <c r="A66" s="101" t="s">
        <v>269</v>
      </c>
      <c r="B66" s="22"/>
      <c r="C66" s="22"/>
      <c r="D66" s="49">
        <f t="shared" ref="D66:D75" si="2">COUNTIF(E66:AJ66,"x")</f>
        <v>1</v>
      </c>
      <c r="E66" s="22"/>
      <c r="F66" s="22"/>
      <c r="G66" s="22"/>
      <c r="H66" s="51"/>
      <c r="I66" s="22"/>
      <c r="J66" s="22"/>
      <c r="K66" s="22"/>
      <c r="L66" s="53"/>
      <c r="M66" s="22"/>
      <c r="N66" s="22"/>
      <c r="O66" s="22"/>
      <c r="P66" s="51"/>
      <c r="Q66" s="22"/>
      <c r="R66" s="22"/>
      <c r="S66" s="22"/>
      <c r="T66" s="53"/>
      <c r="U66" s="22"/>
      <c r="V66" s="22"/>
      <c r="W66" s="22"/>
      <c r="X66" s="51"/>
      <c r="Y66" s="22"/>
      <c r="Z66" s="22"/>
      <c r="AA66" s="22"/>
      <c r="AB66" s="53"/>
      <c r="AC66" s="22"/>
      <c r="AD66" s="22"/>
      <c r="AE66" s="22"/>
      <c r="AF66" s="51"/>
      <c r="AG66" s="22"/>
      <c r="AH66" s="22"/>
      <c r="AI66" s="22"/>
      <c r="AJ66" s="45" t="s">
        <v>87</v>
      </c>
      <c r="AK66" s="40" t="s">
        <v>27</v>
      </c>
      <c r="AL66" s="54">
        <v>0</v>
      </c>
      <c r="AM66" s="54">
        <f t="shared" ref="AM66:AM75" si="3">2^D66 - 1</f>
        <v>1</v>
      </c>
      <c r="AN66" s="54">
        <v>1</v>
      </c>
      <c r="AO66" s="54">
        <v>0</v>
      </c>
      <c r="AP66" s="54" t="s">
        <v>88</v>
      </c>
      <c r="AQ66" s="54">
        <v>0</v>
      </c>
      <c r="AR66" s="55" t="s">
        <v>270</v>
      </c>
    </row>
    <row r="67" spans="1:44">
      <c r="A67" s="101" t="s">
        <v>271</v>
      </c>
      <c r="B67" s="22"/>
      <c r="C67" s="22"/>
      <c r="D67" s="49">
        <f t="shared" si="2"/>
        <v>1</v>
      </c>
      <c r="E67" s="22"/>
      <c r="F67" s="22"/>
      <c r="G67" s="22"/>
      <c r="H67" s="51"/>
      <c r="I67" s="22"/>
      <c r="J67" s="22"/>
      <c r="K67" s="22"/>
      <c r="L67" s="53"/>
      <c r="M67" s="22"/>
      <c r="N67" s="22"/>
      <c r="O67" s="22"/>
      <c r="P67" s="51"/>
      <c r="Q67" s="22"/>
      <c r="R67" s="22"/>
      <c r="S67" s="22"/>
      <c r="T67" s="53"/>
      <c r="U67" s="22"/>
      <c r="V67" s="22"/>
      <c r="W67" s="22"/>
      <c r="X67" s="51"/>
      <c r="Y67" s="22"/>
      <c r="Z67" s="22"/>
      <c r="AA67" s="22"/>
      <c r="AB67" s="53"/>
      <c r="AC67" s="22"/>
      <c r="AD67" s="22"/>
      <c r="AE67" s="22"/>
      <c r="AF67" s="51"/>
      <c r="AG67" s="22"/>
      <c r="AH67" s="22"/>
      <c r="AI67" s="22" t="s">
        <v>87</v>
      </c>
      <c r="AJ67" s="45"/>
      <c r="AK67" s="40" t="s">
        <v>27</v>
      </c>
      <c r="AL67" s="54">
        <v>0</v>
      </c>
      <c r="AM67" s="54">
        <f t="shared" si="3"/>
        <v>1</v>
      </c>
      <c r="AN67" s="54">
        <v>1</v>
      </c>
      <c r="AO67" s="54">
        <v>0</v>
      </c>
      <c r="AP67" s="54" t="s">
        <v>88</v>
      </c>
      <c r="AQ67" s="54">
        <v>0</v>
      </c>
      <c r="AR67" s="55" t="s">
        <v>272</v>
      </c>
    </row>
    <row r="68" spans="1:44">
      <c r="A68" s="101" t="s">
        <v>273</v>
      </c>
      <c r="B68" s="22"/>
      <c r="C68" s="22"/>
      <c r="D68" s="49">
        <f t="shared" si="2"/>
        <v>1</v>
      </c>
      <c r="E68" s="22"/>
      <c r="F68" s="22"/>
      <c r="G68" s="22"/>
      <c r="H68" s="51"/>
      <c r="I68" s="22"/>
      <c r="J68" s="22"/>
      <c r="K68" s="22"/>
      <c r="L68" s="53"/>
      <c r="M68" s="22"/>
      <c r="N68" s="22"/>
      <c r="O68" s="22"/>
      <c r="P68" s="51"/>
      <c r="Q68" s="22"/>
      <c r="R68" s="22"/>
      <c r="S68" s="22"/>
      <c r="T68" s="53"/>
      <c r="U68" s="22"/>
      <c r="V68" s="22"/>
      <c r="W68" s="22"/>
      <c r="X68" s="51"/>
      <c r="Y68" s="22"/>
      <c r="Z68" s="22"/>
      <c r="AA68" s="22"/>
      <c r="AB68" s="53"/>
      <c r="AC68" s="22"/>
      <c r="AD68" s="22"/>
      <c r="AE68" s="22"/>
      <c r="AF68" s="51"/>
      <c r="AG68" s="22"/>
      <c r="AH68" s="22" t="s">
        <v>87</v>
      </c>
      <c r="AI68" s="22"/>
      <c r="AJ68" s="45"/>
      <c r="AK68" s="40" t="s">
        <v>27</v>
      </c>
      <c r="AL68" s="54">
        <v>0</v>
      </c>
      <c r="AM68" s="54">
        <f t="shared" si="3"/>
        <v>1</v>
      </c>
      <c r="AN68" s="54">
        <v>1</v>
      </c>
      <c r="AO68" s="54">
        <v>0</v>
      </c>
      <c r="AP68" s="54" t="s">
        <v>88</v>
      </c>
      <c r="AQ68" s="54">
        <v>0</v>
      </c>
      <c r="AR68" s="55" t="s">
        <v>274</v>
      </c>
    </row>
    <row r="69" spans="1:44">
      <c r="A69" s="101" t="s">
        <v>275</v>
      </c>
      <c r="B69" s="22"/>
      <c r="C69" s="22"/>
      <c r="D69" s="49">
        <f t="shared" si="2"/>
        <v>1</v>
      </c>
      <c r="E69" s="22"/>
      <c r="F69" s="22"/>
      <c r="G69" s="22"/>
      <c r="H69" s="51"/>
      <c r="I69" s="22"/>
      <c r="J69" s="22"/>
      <c r="K69" s="22"/>
      <c r="L69" s="53"/>
      <c r="M69" s="22"/>
      <c r="N69" s="22"/>
      <c r="O69" s="22"/>
      <c r="P69" s="51"/>
      <c r="Q69" s="22"/>
      <c r="R69" s="22"/>
      <c r="S69" s="22"/>
      <c r="T69" s="53"/>
      <c r="U69" s="22"/>
      <c r="V69" s="22"/>
      <c r="W69" s="22"/>
      <c r="X69" s="51"/>
      <c r="Y69" s="22"/>
      <c r="Z69" s="22"/>
      <c r="AA69" s="22"/>
      <c r="AB69" s="53"/>
      <c r="AC69" s="22"/>
      <c r="AD69" s="22"/>
      <c r="AE69" s="22"/>
      <c r="AF69" s="51"/>
      <c r="AG69" s="22" t="s">
        <v>87</v>
      </c>
      <c r="AH69" s="22"/>
      <c r="AI69" s="22"/>
      <c r="AJ69" s="45"/>
      <c r="AK69" s="40" t="s">
        <v>27</v>
      </c>
      <c r="AL69" s="54">
        <v>0</v>
      </c>
      <c r="AM69" s="54">
        <f t="shared" si="3"/>
        <v>1</v>
      </c>
      <c r="AN69" s="54">
        <v>1</v>
      </c>
      <c r="AO69" s="54">
        <v>0</v>
      </c>
      <c r="AP69" s="54" t="s">
        <v>88</v>
      </c>
      <c r="AQ69" s="54">
        <v>0</v>
      </c>
      <c r="AR69" s="55" t="s">
        <v>276</v>
      </c>
    </row>
    <row r="70" spans="1:44">
      <c r="A70" s="101" t="s">
        <v>277</v>
      </c>
      <c r="B70" s="22"/>
      <c r="C70" s="22"/>
      <c r="D70" s="49">
        <f t="shared" si="2"/>
        <v>1</v>
      </c>
      <c r="E70" s="22"/>
      <c r="F70" s="22"/>
      <c r="G70" s="22"/>
      <c r="H70" s="51"/>
      <c r="I70" s="22"/>
      <c r="J70" s="22"/>
      <c r="K70" s="22"/>
      <c r="L70" s="53"/>
      <c r="M70" s="22"/>
      <c r="N70" s="22"/>
      <c r="O70" s="22"/>
      <c r="P70" s="51"/>
      <c r="Q70" s="22"/>
      <c r="R70" s="22"/>
      <c r="S70" s="22"/>
      <c r="T70" s="53"/>
      <c r="U70" s="22"/>
      <c r="V70" s="22"/>
      <c r="W70" s="22"/>
      <c r="X70" s="51"/>
      <c r="Y70" s="22"/>
      <c r="Z70" s="22"/>
      <c r="AA70" s="22"/>
      <c r="AB70" s="53"/>
      <c r="AC70" s="22"/>
      <c r="AD70" s="22"/>
      <c r="AE70" s="22"/>
      <c r="AF70" s="51" t="s">
        <v>87</v>
      </c>
      <c r="AG70" s="22"/>
      <c r="AH70" s="22"/>
      <c r="AI70" s="22"/>
      <c r="AJ70" s="45"/>
      <c r="AK70" s="40" t="s">
        <v>27</v>
      </c>
      <c r="AL70" s="54">
        <v>0</v>
      </c>
      <c r="AM70" s="54">
        <f t="shared" si="3"/>
        <v>1</v>
      </c>
      <c r="AN70" s="54">
        <v>1</v>
      </c>
      <c r="AO70" s="54">
        <v>0</v>
      </c>
      <c r="AP70" s="54" t="s">
        <v>88</v>
      </c>
      <c r="AQ70" s="54">
        <v>0</v>
      </c>
      <c r="AR70" s="55" t="s">
        <v>278</v>
      </c>
    </row>
    <row r="71" spans="1:44">
      <c r="A71" s="101" t="s">
        <v>279</v>
      </c>
      <c r="B71" s="22"/>
      <c r="C71" s="22"/>
      <c r="D71" s="49">
        <f t="shared" si="2"/>
        <v>1</v>
      </c>
      <c r="E71" s="22"/>
      <c r="F71" s="22"/>
      <c r="G71" s="22"/>
      <c r="H71" s="51"/>
      <c r="I71" s="22"/>
      <c r="J71" s="22"/>
      <c r="K71" s="22"/>
      <c r="L71" s="53"/>
      <c r="M71" s="22"/>
      <c r="N71" s="22"/>
      <c r="O71" s="22"/>
      <c r="P71" s="51"/>
      <c r="Q71" s="22"/>
      <c r="R71" s="22"/>
      <c r="S71" s="22"/>
      <c r="T71" s="53"/>
      <c r="U71" s="22"/>
      <c r="V71" s="22"/>
      <c r="W71" s="22"/>
      <c r="X71" s="51"/>
      <c r="Y71" s="22"/>
      <c r="Z71" s="22"/>
      <c r="AA71" s="22"/>
      <c r="AB71" s="53"/>
      <c r="AC71" s="22"/>
      <c r="AD71" s="22"/>
      <c r="AE71" s="22" t="s">
        <v>87</v>
      </c>
      <c r="AF71" s="51"/>
      <c r="AG71" s="22"/>
      <c r="AH71" s="22"/>
      <c r="AI71" s="22"/>
      <c r="AJ71" s="45"/>
      <c r="AK71" s="40" t="s">
        <v>27</v>
      </c>
      <c r="AL71" s="54">
        <v>0</v>
      </c>
      <c r="AM71" s="54">
        <f t="shared" ref="AM71:AM74" si="4">2^D71 - 1</f>
        <v>1</v>
      </c>
      <c r="AN71" s="54">
        <v>1</v>
      </c>
      <c r="AO71" s="54">
        <v>0</v>
      </c>
      <c r="AP71" s="54" t="s">
        <v>88</v>
      </c>
      <c r="AQ71" s="54">
        <v>0</v>
      </c>
      <c r="AR71" s="55" t="s">
        <v>280</v>
      </c>
    </row>
    <row r="72" spans="1:44">
      <c r="A72" s="101" t="s">
        <v>281</v>
      </c>
      <c r="B72" s="22"/>
      <c r="C72" s="22"/>
      <c r="D72" s="49">
        <f t="shared" si="2"/>
        <v>1</v>
      </c>
      <c r="E72" s="22"/>
      <c r="F72" s="22"/>
      <c r="G72" s="22"/>
      <c r="H72" s="51"/>
      <c r="I72" s="22"/>
      <c r="J72" s="22"/>
      <c r="K72" s="22"/>
      <c r="L72" s="53"/>
      <c r="M72" s="22"/>
      <c r="N72" s="22"/>
      <c r="O72" s="22"/>
      <c r="P72" s="51"/>
      <c r="Q72" s="22"/>
      <c r="R72" s="22"/>
      <c r="S72" s="22"/>
      <c r="T72" s="53"/>
      <c r="U72" s="22"/>
      <c r="V72" s="22"/>
      <c r="W72" s="22"/>
      <c r="X72" s="51"/>
      <c r="Y72" s="22"/>
      <c r="Z72" s="22"/>
      <c r="AA72" s="22"/>
      <c r="AB72" s="53"/>
      <c r="AC72" s="22"/>
      <c r="AD72" s="22" t="s">
        <v>87</v>
      </c>
      <c r="AE72" s="22"/>
      <c r="AF72" s="51"/>
      <c r="AG72" s="22"/>
      <c r="AH72" s="22"/>
      <c r="AI72" s="22"/>
      <c r="AJ72" s="45"/>
      <c r="AK72" s="40" t="s">
        <v>27</v>
      </c>
      <c r="AL72" s="54">
        <v>0</v>
      </c>
      <c r="AM72" s="54">
        <f t="shared" si="4"/>
        <v>1</v>
      </c>
      <c r="AN72" s="54">
        <v>1</v>
      </c>
      <c r="AO72" s="54">
        <v>0</v>
      </c>
      <c r="AP72" s="54" t="s">
        <v>88</v>
      </c>
      <c r="AQ72" s="54">
        <v>0</v>
      </c>
      <c r="AR72" s="55" t="s">
        <v>282</v>
      </c>
    </row>
    <row r="73" spans="1:44">
      <c r="A73" s="101" t="s">
        <v>283</v>
      </c>
      <c r="B73" s="22"/>
      <c r="C73" s="22"/>
      <c r="D73" s="49">
        <f t="shared" si="2"/>
        <v>1</v>
      </c>
      <c r="E73" s="22"/>
      <c r="F73" s="22"/>
      <c r="G73" s="22"/>
      <c r="H73" s="51"/>
      <c r="I73" s="22"/>
      <c r="J73" s="22"/>
      <c r="K73" s="22"/>
      <c r="L73" s="53"/>
      <c r="M73" s="22"/>
      <c r="N73" s="22"/>
      <c r="O73" s="22"/>
      <c r="P73" s="51"/>
      <c r="Q73" s="22"/>
      <c r="R73" s="22"/>
      <c r="S73" s="22"/>
      <c r="T73" s="53"/>
      <c r="U73" s="22"/>
      <c r="V73" s="22"/>
      <c r="W73" s="22"/>
      <c r="X73" s="51"/>
      <c r="Y73" s="22"/>
      <c r="Z73" s="22"/>
      <c r="AA73" s="22"/>
      <c r="AB73" s="53"/>
      <c r="AC73" s="22" t="s">
        <v>87</v>
      </c>
      <c r="AD73" s="22"/>
      <c r="AE73" s="22"/>
      <c r="AF73" s="51"/>
      <c r="AG73" s="22"/>
      <c r="AH73" s="22"/>
      <c r="AI73" s="22"/>
      <c r="AJ73" s="45"/>
      <c r="AK73" s="40" t="s">
        <v>27</v>
      </c>
      <c r="AL73" s="54">
        <v>0</v>
      </c>
      <c r="AM73" s="54">
        <f t="shared" si="4"/>
        <v>1</v>
      </c>
      <c r="AN73" s="54">
        <v>1</v>
      </c>
      <c r="AO73" s="54">
        <v>0</v>
      </c>
      <c r="AP73" s="54" t="s">
        <v>88</v>
      </c>
      <c r="AQ73" s="54">
        <v>0</v>
      </c>
      <c r="AR73" s="55" t="s">
        <v>284</v>
      </c>
    </row>
    <row r="74" spans="1:44">
      <c r="A74" s="101" t="s">
        <v>285</v>
      </c>
      <c r="B74" s="22"/>
      <c r="C74" s="22"/>
      <c r="D74" s="49">
        <f t="shared" si="2"/>
        <v>1</v>
      </c>
      <c r="E74" s="22"/>
      <c r="F74" s="22"/>
      <c r="G74" s="22"/>
      <c r="H74" s="51"/>
      <c r="I74" s="22"/>
      <c r="J74" s="22"/>
      <c r="K74" s="22"/>
      <c r="L74" s="53"/>
      <c r="M74" s="22"/>
      <c r="N74" s="22"/>
      <c r="O74" s="22"/>
      <c r="P74" s="51"/>
      <c r="Q74" s="22"/>
      <c r="R74" s="22"/>
      <c r="S74" s="22"/>
      <c r="T74" s="53"/>
      <c r="U74" s="22"/>
      <c r="V74" s="22"/>
      <c r="W74" s="22"/>
      <c r="X74" s="51"/>
      <c r="Y74" s="22"/>
      <c r="Z74" s="22"/>
      <c r="AA74" s="22"/>
      <c r="AB74" s="53" t="s">
        <v>87</v>
      </c>
      <c r="AC74" s="22"/>
      <c r="AD74" s="22"/>
      <c r="AE74" s="22"/>
      <c r="AF74" s="51"/>
      <c r="AG74" s="22"/>
      <c r="AH74" s="22"/>
      <c r="AI74" s="22"/>
      <c r="AJ74" s="45"/>
      <c r="AK74" s="40" t="s">
        <v>27</v>
      </c>
      <c r="AL74" s="54">
        <v>0</v>
      </c>
      <c r="AM74" s="54">
        <f t="shared" si="4"/>
        <v>1</v>
      </c>
      <c r="AN74" s="54">
        <v>1</v>
      </c>
      <c r="AO74" s="54">
        <v>0</v>
      </c>
      <c r="AP74" s="54" t="s">
        <v>88</v>
      </c>
      <c r="AQ74" s="54">
        <v>0</v>
      </c>
      <c r="AR74" s="55" t="s">
        <v>282</v>
      </c>
    </row>
    <row r="75" spans="1:44" ht="14.45" thickBot="1">
      <c r="A75" s="102" t="s">
        <v>286</v>
      </c>
      <c r="B75" s="46"/>
      <c r="C75" s="46"/>
      <c r="D75" s="50">
        <f t="shared" si="2"/>
        <v>1</v>
      </c>
      <c r="E75" s="46"/>
      <c r="F75" s="46"/>
      <c r="G75" s="46"/>
      <c r="H75" s="52"/>
      <c r="I75" s="46"/>
      <c r="J75" s="46"/>
      <c r="K75" s="46"/>
      <c r="L75" s="63"/>
      <c r="M75" s="46"/>
      <c r="N75" s="46"/>
      <c r="O75" s="46"/>
      <c r="P75" s="52"/>
      <c r="Q75" s="46"/>
      <c r="R75" s="46"/>
      <c r="S75" s="46"/>
      <c r="T75" s="63"/>
      <c r="U75" s="46"/>
      <c r="V75" s="46"/>
      <c r="W75" s="46"/>
      <c r="X75" s="52"/>
      <c r="Y75" s="46"/>
      <c r="Z75" s="46"/>
      <c r="AA75" s="46" t="s">
        <v>87</v>
      </c>
      <c r="AB75" s="63"/>
      <c r="AC75" s="46"/>
      <c r="AD75" s="46"/>
      <c r="AE75" s="46"/>
      <c r="AF75" s="52"/>
      <c r="AG75" s="46"/>
      <c r="AH75" s="46"/>
      <c r="AI75" s="46"/>
      <c r="AJ75" s="47"/>
      <c r="AK75" s="40" t="s">
        <v>27</v>
      </c>
      <c r="AL75" s="54">
        <v>0</v>
      </c>
      <c r="AM75" s="54">
        <f t="shared" si="3"/>
        <v>1</v>
      </c>
      <c r="AN75" s="54">
        <v>1</v>
      </c>
      <c r="AO75" s="54">
        <v>0</v>
      </c>
      <c r="AP75" s="54" t="s">
        <v>88</v>
      </c>
      <c r="AQ75" s="54">
        <v>0</v>
      </c>
      <c r="AR75" s="55" t="s">
        <v>284</v>
      </c>
    </row>
    <row r="76" spans="1:44" ht="15" thickTop="1" thickBot="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</row>
    <row r="77" spans="1:44" ht="14.45" thickTop="1">
      <c r="A77" s="41" t="s">
        <v>287</v>
      </c>
      <c r="B77" s="42">
        <v>72</v>
      </c>
      <c r="C77" s="42" t="str">
        <f>DEC2HEX(B77)</f>
        <v>48</v>
      </c>
      <c r="D77" s="48" t="s">
        <v>26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4"/>
      <c r="AK77" s="22"/>
      <c r="AL77" s="22"/>
      <c r="AM77" s="22"/>
      <c r="AN77" s="22"/>
      <c r="AO77" s="22"/>
      <c r="AP77" s="22"/>
      <c r="AQ77" s="22"/>
      <c r="AR77" s="22"/>
    </row>
    <row r="78" spans="1:44" ht="14.45" thickBot="1">
      <c r="A78" s="93" t="s">
        <v>288</v>
      </c>
      <c r="B78" s="46"/>
      <c r="C78" s="46"/>
      <c r="D78" s="50">
        <f>COUNTIF(E78:AJ78,"x")</f>
        <v>1</v>
      </c>
      <c r="E78" s="46"/>
      <c r="F78" s="46"/>
      <c r="G78" s="46"/>
      <c r="H78" s="52"/>
      <c r="I78" s="46"/>
      <c r="J78" s="46"/>
      <c r="K78" s="46"/>
      <c r="L78" s="63"/>
      <c r="M78" s="46"/>
      <c r="N78" s="46"/>
      <c r="O78" s="46"/>
      <c r="P78" s="52"/>
      <c r="Q78" s="46"/>
      <c r="R78" s="46"/>
      <c r="S78" s="46"/>
      <c r="T78" s="63"/>
      <c r="U78" s="46"/>
      <c r="V78" s="46"/>
      <c r="W78" s="46"/>
      <c r="X78" s="52"/>
      <c r="Y78" s="46"/>
      <c r="Z78" s="46"/>
      <c r="AA78" s="46"/>
      <c r="AB78" s="63"/>
      <c r="AC78" s="46"/>
      <c r="AD78" s="46"/>
      <c r="AE78" s="46"/>
      <c r="AF78" s="52"/>
      <c r="AG78" s="46"/>
      <c r="AH78" s="46"/>
      <c r="AI78" s="46"/>
      <c r="AJ78" s="47" t="s">
        <v>87</v>
      </c>
      <c r="AK78" s="40" t="s">
        <v>27</v>
      </c>
      <c r="AL78" s="54">
        <v>0</v>
      </c>
      <c r="AM78" s="54">
        <f>2^D78 - 1</f>
        <v>1</v>
      </c>
      <c r="AN78" s="54">
        <v>1</v>
      </c>
      <c r="AO78" s="54">
        <v>0</v>
      </c>
      <c r="AP78" s="54" t="s">
        <v>88</v>
      </c>
      <c r="AQ78" s="54">
        <v>0</v>
      </c>
      <c r="AR78" s="55" t="s">
        <v>289</v>
      </c>
    </row>
    <row r="79" spans="1:44" ht="15" thickTop="1" thickBot="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</row>
    <row r="80" spans="1:44" ht="14.45" thickTop="1">
      <c r="A80" s="41" t="s">
        <v>290</v>
      </c>
      <c r="B80" s="42">
        <v>76</v>
      </c>
      <c r="C80" s="42" t="str">
        <f>DEC2HEX(B80)</f>
        <v>4C</v>
      </c>
      <c r="D80" s="48" t="s">
        <v>20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4"/>
      <c r="AK80" s="22"/>
      <c r="AL80" s="22"/>
      <c r="AM80" s="22"/>
      <c r="AN80" s="22"/>
      <c r="AO80" s="22"/>
      <c r="AP80" s="22"/>
      <c r="AQ80" s="22"/>
      <c r="AR80" s="22"/>
    </row>
    <row r="81" spans="1:44" ht="14.45" thickBot="1">
      <c r="A81" s="93" t="s">
        <v>291</v>
      </c>
      <c r="B81" s="46"/>
      <c r="C81" s="46"/>
      <c r="D81" s="50">
        <f>COUNTIF(E81:AJ81,"x")</f>
        <v>32</v>
      </c>
      <c r="E81" s="46" t="s">
        <v>87</v>
      </c>
      <c r="F81" s="46" t="s">
        <v>87</v>
      </c>
      <c r="G81" s="46" t="s">
        <v>87</v>
      </c>
      <c r="H81" s="52" t="s">
        <v>87</v>
      </c>
      <c r="I81" s="46" t="s">
        <v>87</v>
      </c>
      <c r="J81" s="46" t="s">
        <v>87</v>
      </c>
      <c r="K81" s="46" t="s">
        <v>87</v>
      </c>
      <c r="L81" s="63" t="s">
        <v>87</v>
      </c>
      <c r="M81" s="46" t="s">
        <v>87</v>
      </c>
      <c r="N81" s="46" t="s">
        <v>87</v>
      </c>
      <c r="O81" s="46" t="s">
        <v>87</v>
      </c>
      <c r="P81" s="52" t="s">
        <v>87</v>
      </c>
      <c r="Q81" s="46" t="s">
        <v>87</v>
      </c>
      <c r="R81" s="46" t="s">
        <v>87</v>
      </c>
      <c r="S81" s="46" t="s">
        <v>87</v>
      </c>
      <c r="T81" s="63" t="s">
        <v>87</v>
      </c>
      <c r="U81" s="46" t="s">
        <v>87</v>
      </c>
      <c r="V81" s="46" t="s">
        <v>87</v>
      </c>
      <c r="W81" s="46" t="s">
        <v>87</v>
      </c>
      <c r="X81" s="52" t="s">
        <v>87</v>
      </c>
      <c r="Y81" s="46" t="s">
        <v>87</v>
      </c>
      <c r="Z81" s="46" t="s">
        <v>87</v>
      </c>
      <c r="AA81" s="46" t="s">
        <v>87</v>
      </c>
      <c r="AB81" s="63" t="s">
        <v>87</v>
      </c>
      <c r="AC81" s="46" t="s">
        <v>87</v>
      </c>
      <c r="AD81" s="46" t="s">
        <v>87</v>
      </c>
      <c r="AE81" s="46" t="s">
        <v>87</v>
      </c>
      <c r="AF81" s="52" t="s">
        <v>87</v>
      </c>
      <c r="AG81" s="46" t="s">
        <v>87</v>
      </c>
      <c r="AH81" s="46" t="s">
        <v>87</v>
      </c>
      <c r="AI81" s="46" t="s">
        <v>87</v>
      </c>
      <c r="AJ81" s="47" t="s">
        <v>87</v>
      </c>
      <c r="AK81" s="40" t="s">
        <v>27</v>
      </c>
      <c r="AL81" s="54">
        <v>0</v>
      </c>
      <c r="AM81" s="54">
        <f>2^D81 - 1</f>
        <v>4294967295</v>
      </c>
      <c r="AN81" s="54">
        <v>1</v>
      </c>
      <c r="AO81" s="54">
        <v>0</v>
      </c>
      <c r="AP81" s="54" t="s">
        <v>88</v>
      </c>
      <c r="AQ81" s="54">
        <v>0</v>
      </c>
      <c r="AR81" s="55" t="s">
        <v>292</v>
      </c>
    </row>
    <row r="82" spans="1:44" ht="15" thickTop="1" thickBot="1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</row>
    <row r="83" spans="1:44" ht="14.45" thickTop="1">
      <c r="A83" s="41" t="s">
        <v>293</v>
      </c>
      <c r="B83" s="42">
        <v>80</v>
      </c>
      <c r="C83" s="42" t="str">
        <f>DEC2HEX(B83)</f>
        <v>50</v>
      </c>
      <c r="D83" s="48" t="s">
        <v>20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4"/>
      <c r="AK83" s="22"/>
      <c r="AL83" s="22"/>
      <c r="AM83" s="22"/>
      <c r="AN83" s="22"/>
      <c r="AO83" s="22"/>
      <c r="AP83" s="22"/>
      <c r="AQ83" s="22"/>
      <c r="AR83" s="22"/>
    </row>
    <row r="84" spans="1:44" ht="14.45" thickBot="1">
      <c r="A84" s="93" t="s">
        <v>294</v>
      </c>
      <c r="B84" s="46"/>
      <c r="C84" s="46"/>
      <c r="D84" s="50">
        <f>COUNTIF(E84:AJ84,"x")</f>
        <v>32</v>
      </c>
      <c r="E84" s="46" t="s">
        <v>87</v>
      </c>
      <c r="F84" s="46" t="s">
        <v>87</v>
      </c>
      <c r="G84" s="46" t="s">
        <v>87</v>
      </c>
      <c r="H84" s="52" t="s">
        <v>87</v>
      </c>
      <c r="I84" s="46" t="s">
        <v>87</v>
      </c>
      <c r="J84" s="46" t="s">
        <v>87</v>
      </c>
      <c r="K84" s="46" t="s">
        <v>87</v>
      </c>
      <c r="L84" s="63" t="s">
        <v>87</v>
      </c>
      <c r="M84" s="46" t="s">
        <v>87</v>
      </c>
      <c r="N84" s="46" t="s">
        <v>87</v>
      </c>
      <c r="O84" s="46" t="s">
        <v>87</v>
      </c>
      <c r="P84" s="52" t="s">
        <v>87</v>
      </c>
      <c r="Q84" s="46" t="s">
        <v>87</v>
      </c>
      <c r="R84" s="46" t="s">
        <v>87</v>
      </c>
      <c r="S84" s="46" t="s">
        <v>87</v>
      </c>
      <c r="T84" s="63" t="s">
        <v>87</v>
      </c>
      <c r="U84" s="46" t="s">
        <v>87</v>
      </c>
      <c r="V84" s="46" t="s">
        <v>87</v>
      </c>
      <c r="W84" s="46" t="s">
        <v>87</v>
      </c>
      <c r="X84" s="52" t="s">
        <v>87</v>
      </c>
      <c r="Y84" s="46" t="s">
        <v>87</v>
      </c>
      <c r="Z84" s="46" t="s">
        <v>87</v>
      </c>
      <c r="AA84" s="46" t="s">
        <v>87</v>
      </c>
      <c r="AB84" s="63" t="s">
        <v>87</v>
      </c>
      <c r="AC84" s="46" t="s">
        <v>87</v>
      </c>
      <c r="AD84" s="46" t="s">
        <v>87</v>
      </c>
      <c r="AE84" s="46" t="s">
        <v>87</v>
      </c>
      <c r="AF84" s="52" t="s">
        <v>87</v>
      </c>
      <c r="AG84" s="46" t="s">
        <v>87</v>
      </c>
      <c r="AH84" s="46" t="s">
        <v>87</v>
      </c>
      <c r="AI84" s="46" t="s">
        <v>87</v>
      </c>
      <c r="AJ84" s="47" t="s">
        <v>87</v>
      </c>
      <c r="AK84" s="40" t="s">
        <v>27</v>
      </c>
      <c r="AL84" s="54">
        <v>0</v>
      </c>
      <c r="AM84" s="54">
        <f>2^D84 - 1</f>
        <v>4294967295</v>
      </c>
      <c r="AN84" s="54">
        <v>1</v>
      </c>
      <c r="AO84" s="54">
        <v>0</v>
      </c>
      <c r="AP84" s="54" t="s">
        <v>88</v>
      </c>
      <c r="AQ84" s="54">
        <v>0</v>
      </c>
      <c r="AR84" s="55" t="s">
        <v>295</v>
      </c>
    </row>
    <row r="85" spans="1:44" ht="15" thickTop="1" thickBot="1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ht="14.45" thickTop="1">
      <c r="A86" s="41" t="s">
        <v>296</v>
      </c>
      <c r="B86" s="42">
        <v>84</v>
      </c>
      <c r="C86" s="42" t="str">
        <f>DEC2HEX(B86)</f>
        <v>54</v>
      </c>
      <c r="D86" s="48" t="s">
        <v>23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4"/>
      <c r="AK86" s="22"/>
      <c r="AL86" s="22"/>
      <c r="AM86" s="22"/>
      <c r="AN86" s="22"/>
      <c r="AO86" s="22"/>
      <c r="AP86" s="22"/>
      <c r="AQ86" s="22"/>
      <c r="AR86" s="22"/>
    </row>
    <row r="87" spans="1:44" ht="14.45" thickBot="1">
      <c r="A87" s="93" t="s">
        <v>297</v>
      </c>
      <c r="B87" s="46"/>
      <c r="C87" s="46"/>
      <c r="D87" s="50">
        <f>COUNTIF(E87:AJ87,"x")</f>
        <v>32</v>
      </c>
      <c r="E87" s="46" t="s">
        <v>87</v>
      </c>
      <c r="F87" s="46" t="s">
        <v>87</v>
      </c>
      <c r="G87" s="46" t="s">
        <v>87</v>
      </c>
      <c r="H87" s="52" t="s">
        <v>87</v>
      </c>
      <c r="I87" s="46" t="s">
        <v>87</v>
      </c>
      <c r="J87" s="46" t="s">
        <v>87</v>
      </c>
      <c r="K87" s="46" t="s">
        <v>87</v>
      </c>
      <c r="L87" s="63" t="s">
        <v>87</v>
      </c>
      <c r="M87" s="46" t="s">
        <v>87</v>
      </c>
      <c r="N87" s="46" t="s">
        <v>87</v>
      </c>
      <c r="O87" s="46" t="s">
        <v>87</v>
      </c>
      <c r="P87" s="52" t="s">
        <v>87</v>
      </c>
      <c r="Q87" s="46" t="s">
        <v>87</v>
      </c>
      <c r="R87" s="46" t="s">
        <v>87</v>
      </c>
      <c r="S87" s="46" t="s">
        <v>87</v>
      </c>
      <c r="T87" s="63" t="s">
        <v>87</v>
      </c>
      <c r="U87" s="46" t="s">
        <v>87</v>
      </c>
      <c r="V87" s="46" t="s">
        <v>87</v>
      </c>
      <c r="W87" s="46" t="s">
        <v>87</v>
      </c>
      <c r="X87" s="52" t="s">
        <v>87</v>
      </c>
      <c r="Y87" s="46" t="s">
        <v>87</v>
      </c>
      <c r="Z87" s="46" t="s">
        <v>87</v>
      </c>
      <c r="AA87" s="46" t="s">
        <v>87</v>
      </c>
      <c r="AB87" s="63" t="s">
        <v>87</v>
      </c>
      <c r="AC87" s="46" t="s">
        <v>87</v>
      </c>
      <c r="AD87" s="46" t="s">
        <v>87</v>
      </c>
      <c r="AE87" s="46" t="s">
        <v>87</v>
      </c>
      <c r="AF87" s="52" t="s">
        <v>87</v>
      </c>
      <c r="AG87" s="46" t="s">
        <v>87</v>
      </c>
      <c r="AH87" s="46" t="s">
        <v>87</v>
      </c>
      <c r="AI87" s="46" t="s">
        <v>87</v>
      </c>
      <c r="AJ87" s="47" t="s">
        <v>87</v>
      </c>
      <c r="AK87" s="40" t="s">
        <v>27</v>
      </c>
      <c r="AL87" s="54">
        <v>0</v>
      </c>
      <c r="AM87" s="54">
        <f>2^D87 - 1</f>
        <v>4294967295</v>
      </c>
      <c r="AN87" s="54">
        <v>1</v>
      </c>
      <c r="AO87" s="54">
        <v>0</v>
      </c>
      <c r="AP87" s="54" t="s">
        <v>88</v>
      </c>
      <c r="AQ87" s="54">
        <v>0</v>
      </c>
      <c r="AR87" s="55" t="s">
        <v>298</v>
      </c>
    </row>
    <row r="88" spans="1:44" ht="15" thickTop="1" thickBot="1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</row>
    <row r="89" spans="1:44" ht="14.45" thickTop="1">
      <c r="A89" s="41" t="s">
        <v>299</v>
      </c>
      <c r="B89" s="42">
        <v>88</v>
      </c>
      <c r="C89" s="42" t="str">
        <f>DEC2HEX(B89)</f>
        <v>58</v>
      </c>
      <c r="D89" s="48" t="s">
        <v>23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4"/>
      <c r="AK89" s="22"/>
      <c r="AL89" s="22"/>
      <c r="AM89" s="22"/>
      <c r="AN89" s="22"/>
      <c r="AO89" s="22"/>
      <c r="AP89" s="22"/>
      <c r="AQ89" s="22"/>
      <c r="AR89" s="22"/>
    </row>
    <row r="90" spans="1:44" ht="14.45" thickBot="1">
      <c r="A90" s="93" t="s">
        <v>300</v>
      </c>
      <c r="B90" s="46"/>
      <c r="C90" s="46"/>
      <c r="D90" s="50">
        <f>COUNTIF(E90:AJ90,"x")</f>
        <v>32</v>
      </c>
      <c r="E90" s="46" t="s">
        <v>87</v>
      </c>
      <c r="F90" s="46" t="s">
        <v>87</v>
      </c>
      <c r="G90" s="46" t="s">
        <v>87</v>
      </c>
      <c r="H90" s="52" t="s">
        <v>87</v>
      </c>
      <c r="I90" s="46" t="s">
        <v>87</v>
      </c>
      <c r="J90" s="46" t="s">
        <v>87</v>
      </c>
      <c r="K90" s="46" t="s">
        <v>87</v>
      </c>
      <c r="L90" s="63" t="s">
        <v>87</v>
      </c>
      <c r="M90" s="46" t="s">
        <v>87</v>
      </c>
      <c r="N90" s="46" t="s">
        <v>87</v>
      </c>
      <c r="O90" s="46" t="s">
        <v>87</v>
      </c>
      <c r="P90" s="52" t="s">
        <v>87</v>
      </c>
      <c r="Q90" s="46" t="s">
        <v>87</v>
      </c>
      <c r="R90" s="46" t="s">
        <v>87</v>
      </c>
      <c r="S90" s="46" t="s">
        <v>87</v>
      </c>
      <c r="T90" s="63" t="s">
        <v>87</v>
      </c>
      <c r="U90" s="46" t="s">
        <v>87</v>
      </c>
      <c r="V90" s="46" t="s">
        <v>87</v>
      </c>
      <c r="W90" s="46" t="s">
        <v>87</v>
      </c>
      <c r="X90" s="52" t="s">
        <v>87</v>
      </c>
      <c r="Y90" s="46" t="s">
        <v>87</v>
      </c>
      <c r="Z90" s="46" t="s">
        <v>87</v>
      </c>
      <c r="AA90" s="46" t="s">
        <v>87</v>
      </c>
      <c r="AB90" s="63" t="s">
        <v>87</v>
      </c>
      <c r="AC90" s="46" t="s">
        <v>87</v>
      </c>
      <c r="AD90" s="46" t="s">
        <v>87</v>
      </c>
      <c r="AE90" s="46" t="s">
        <v>87</v>
      </c>
      <c r="AF90" s="52" t="s">
        <v>87</v>
      </c>
      <c r="AG90" s="46" t="s">
        <v>87</v>
      </c>
      <c r="AH90" s="46" t="s">
        <v>87</v>
      </c>
      <c r="AI90" s="46" t="s">
        <v>87</v>
      </c>
      <c r="AJ90" s="47" t="s">
        <v>87</v>
      </c>
      <c r="AK90" s="40" t="s">
        <v>27</v>
      </c>
      <c r="AL90" s="54">
        <v>0</v>
      </c>
      <c r="AM90" s="54">
        <f>2^D90 - 1</f>
        <v>4294967295</v>
      </c>
      <c r="AN90" s="54">
        <v>1</v>
      </c>
      <c r="AO90" s="54">
        <v>0</v>
      </c>
      <c r="AP90" s="54" t="s">
        <v>88</v>
      </c>
      <c r="AQ90" s="54">
        <v>0</v>
      </c>
      <c r="AR90" s="55" t="s">
        <v>301</v>
      </c>
    </row>
    <row r="91" spans="1:44" ht="15" thickTop="1" thickBot="1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</row>
    <row r="92" spans="1:44" ht="14.45" thickTop="1">
      <c r="A92" s="41" t="s">
        <v>302</v>
      </c>
      <c r="B92" s="42">
        <v>92</v>
      </c>
      <c r="C92" s="42" t="str">
        <f>DEC2HEX(B92)</f>
        <v>5C</v>
      </c>
      <c r="D92" s="48" t="s">
        <v>23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4"/>
      <c r="AK92" s="22"/>
      <c r="AL92" s="22"/>
      <c r="AM92" s="22"/>
      <c r="AN92" s="22"/>
      <c r="AO92" s="22"/>
      <c r="AP92" s="22"/>
      <c r="AQ92" s="22"/>
      <c r="AR92" s="22"/>
    </row>
    <row r="93" spans="1:44" ht="14.45" thickBot="1">
      <c r="A93" s="93" t="s">
        <v>303</v>
      </c>
      <c r="B93" s="46"/>
      <c r="C93" s="46"/>
      <c r="D93" s="50">
        <f>COUNTIF(E93:AJ93,"x")</f>
        <v>32</v>
      </c>
      <c r="E93" s="46" t="s">
        <v>87</v>
      </c>
      <c r="F93" s="46" t="s">
        <v>87</v>
      </c>
      <c r="G93" s="46" t="s">
        <v>87</v>
      </c>
      <c r="H93" s="52" t="s">
        <v>87</v>
      </c>
      <c r="I93" s="46" t="s">
        <v>87</v>
      </c>
      <c r="J93" s="46" t="s">
        <v>87</v>
      </c>
      <c r="K93" s="46" t="s">
        <v>87</v>
      </c>
      <c r="L93" s="63" t="s">
        <v>87</v>
      </c>
      <c r="M93" s="46" t="s">
        <v>87</v>
      </c>
      <c r="N93" s="46" t="s">
        <v>87</v>
      </c>
      <c r="O93" s="46" t="s">
        <v>87</v>
      </c>
      <c r="P93" s="52" t="s">
        <v>87</v>
      </c>
      <c r="Q93" s="46" t="s">
        <v>87</v>
      </c>
      <c r="R93" s="46" t="s">
        <v>87</v>
      </c>
      <c r="S93" s="46" t="s">
        <v>87</v>
      </c>
      <c r="T93" s="63" t="s">
        <v>87</v>
      </c>
      <c r="U93" s="46" t="s">
        <v>87</v>
      </c>
      <c r="V93" s="46" t="s">
        <v>87</v>
      </c>
      <c r="W93" s="46" t="s">
        <v>87</v>
      </c>
      <c r="X93" s="52" t="s">
        <v>87</v>
      </c>
      <c r="Y93" s="46" t="s">
        <v>87</v>
      </c>
      <c r="Z93" s="46" t="s">
        <v>87</v>
      </c>
      <c r="AA93" s="46" t="s">
        <v>87</v>
      </c>
      <c r="AB93" s="63" t="s">
        <v>87</v>
      </c>
      <c r="AC93" s="46" t="s">
        <v>87</v>
      </c>
      <c r="AD93" s="46" t="s">
        <v>87</v>
      </c>
      <c r="AE93" s="46" t="s">
        <v>87</v>
      </c>
      <c r="AF93" s="52" t="s">
        <v>87</v>
      </c>
      <c r="AG93" s="46" t="s">
        <v>87</v>
      </c>
      <c r="AH93" s="46" t="s">
        <v>87</v>
      </c>
      <c r="AI93" s="46" t="s">
        <v>87</v>
      </c>
      <c r="AJ93" s="47" t="s">
        <v>87</v>
      </c>
      <c r="AK93" s="40" t="s">
        <v>27</v>
      </c>
      <c r="AL93" s="54">
        <v>0</v>
      </c>
      <c r="AM93" s="54">
        <f>2^D93 - 1</f>
        <v>4294967295</v>
      </c>
      <c r="AN93" s="54">
        <v>1</v>
      </c>
      <c r="AO93" s="54">
        <v>0</v>
      </c>
      <c r="AP93" s="54" t="s">
        <v>88</v>
      </c>
      <c r="AQ93" s="54">
        <v>0</v>
      </c>
      <c r="AR93" s="55" t="s">
        <v>304</v>
      </c>
    </row>
    <row r="94" spans="1:44" ht="15" thickTop="1" thickBot="1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ht="14.45" thickTop="1">
      <c r="A95" s="41" t="s">
        <v>305</v>
      </c>
      <c r="B95" s="42">
        <v>96</v>
      </c>
      <c r="C95" s="42" t="str">
        <f>DEC2HEX(B95)</f>
        <v>60</v>
      </c>
      <c r="D95" s="48" t="s">
        <v>23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4"/>
      <c r="AK95" s="22"/>
      <c r="AL95" s="22"/>
      <c r="AM95" s="22"/>
      <c r="AN95" s="22"/>
      <c r="AO95" s="22"/>
      <c r="AP95" s="22"/>
      <c r="AQ95" s="22"/>
      <c r="AR95" s="22"/>
    </row>
    <row r="96" spans="1:44" ht="14.45" thickBot="1">
      <c r="A96" s="93" t="s">
        <v>306</v>
      </c>
      <c r="B96" s="46"/>
      <c r="C96" s="46"/>
      <c r="D96" s="50">
        <f>COUNTIF(E96:AJ96,"x")</f>
        <v>32</v>
      </c>
      <c r="E96" s="46" t="s">
        <v>87</v>
      </c>
      <c r="F96" s="46" t="s">
        <v>87</v>
      </c>
      <c r="G96" s="46" t="s">
        <v>87</v>
      </c>
      <c r="H96" s="52" t="s">
        <v>87</v>
      </c>
      <c r="I96" s="46" t="s">
        <v>87</v>
      </c>
      <c r="J96" s="46" t="s">
        <v>87</v>
      </c>
      <c r="K96" s="46" t="s">
        <v>87</v>
      </c>
      <c r="L96" s="63" t="s">
        <v>87</v>
      </c>
      <c r="M96" s="46" t="s">
        <v>87</v>
      </c>
      <c r="N96" s="46" t="s">
        <v>87</v>
      </c>
      <c r="O96" s="46" t="s">
        <v>87</v>
      </c>
      <c r="P96" s="52" t="s">
        <v>87</v>
      </c>
      <c r="Q96" s="46" t="s">
        <v>87</v>
      </c>
      <c r="R96" s="46" t="s">
        <v>87</v>
      </c>
      <c r="S96" s="46" t="s">
        <v>87</v>
      </c>
      <c r="T96" s="63" t="s">
        <v>87</v>
      </c>
      <c r="U96" s="46" t="s">
        <v>87</v>
      </c>
      <c r="V96" s="46" t="s">
        <v>87</v>
      </c>
      <c r="W96" s="46" t="s">
        <v>87</v>
      </c>
      <c r="X96" s="52" t="s">
        <v>87</v>
      </c>
      <c r="Y96" s="46" t="s">
        <v>87</v>
      </c>
      <c r="Z96" s="46" t="s">
        <v>87</v>
      </c>
      <c r="AA96" s="46" t="s">
        <v>87</v>
      </c>
      <c r="AB96" s="63" t="s">
        <v>87</v>
      </c>
      <c r="AC96" s="46" t="s">
        <v>87</v>
      </c>
      <c r="AD96" s="46" t="s">
        <v>87</v>
      </c>
      <c r="AE96" s="46" t="s">
        <v>87</v>
      </c>
      <c r="AF96" s="52" t="s">
        <v>87</v>
      </c>
      <c r="AG96" s="46" t="s">
        <v>87</v>
      </c>
      <c r="AH96" s="46" t="s">
        <v>87</v>
      </c>
      <c r="AI96" s="46" t="s">
        <v>87</v>
      </c>
      <c r="AJ96" s="47" t="s">
        <v>87</v>
      </c>
      <c r="AK96" s="40" t="s">
        <v>27</v>
      </c>
      <c r="AL96" s="54">
        <v>0</v>
      </c>
      <c r="AM96" s="54">
        <f>2^D96 - 1</f>
        <v>4294967295</v>
      </c>
      <c r="AN96" s="54">
        <v>1</v>
      </c>
      <c r="AO96" s="54">
        <v>0</v>
      </c>
      <c r="AP96" s="54" t="s">
        <v>88</v>
      </c>
      <c r="AQ96" s="54">
        <v>0</v>
      </c>
      <c r="AR96" s="55" t="s">
        <v>307</v>
      </c>
    </row>
    <row r="97" spans="1:44" ht="15" thickTop="1" thickBot="1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</row>
    <row r="98" spans="1:44" ht="14.45" thickTop="1">
      <c r="A98" s="41" t="s">
        <v>308</v>
      </c>
      <c r="B98" s="42">
        <v>100</v>
      </c>
      <c r="C98" s="42" t="str">
        <f>DEC2HEX(B98)</f>
        <v>64</v>
      </c>
      <c r="D98" s="48" t="s">
        <v>26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4"/>
      <c r="AK98" s="22"/>
      <c r="AL98" s="22"/>
      <c r="AM98" s="22"/>
      <c r="AN98" s="22"/>
      <c r="AO98" s="22"/>
      <c r="AP98" s="22"/>
      <c r="AQ98" s="22"/>
      <c r="AR98" s="22"/>
    </row>
    <row r="99" spans="1:44" ht="14.45" thickBot="1">
      <c r="A99" s="93" t="s">
        <v>309</v>
      </c>
      <c r="B99" s="46"/>
      <c r="C99" s="46"/>
      <c r="D99" s="50">
        <f>COUNTIF(E99:AJ99,"x")</f>
        <v>1</v>
      </c>
      <c r="E99" s="46"/>
      <c r="F99" s="46"/>
      <c r="G99" s="46"/>
      <c r="H99" s="52"/>
      <c r="I99" s="46"/>
      <c r="J99" s="46"/>
      <c r="K99" s="46"/>
      <c r="L99" s="63"/>
      <c r="M99" s="46"/>
      <c r="N99" s="46"/>
      <c r="O99" s="46"/>
      <c r="P99" s="52"/>
      <c r="Q99" s="46"/>
      <c r="R99" s="46"/>
      <c r="S99" s="46"/>
      <c r="T99" s="63"/>
      <c r="U99" s="46"/>
      <c r="V99" s="46"/>
      <c r="W99" s="46"/>
      <c r="X99" s="52"/>
      <c r="Y99" s="46"/>
      <c r="Z99" s="46"/>
      <c r="AA99" s="46"/>
      <c r="AB99" s="63"/>
      <c r="AC99" s="46"/>
      <c r="AD99" s="46"/>
      <c r="AE99" s="46"/>
      <c r="AF99" s="52"/>
      <c r="AG99" s="46"/>
      <c r="AH99" s="46"/>
      <c r="AI99" s="46"/>
      <c r="AJ99" s="47" t="s">
        <v>87</v>
      </c>
      <c r="AK99" s="40" t="s">
        <v>27</v>
      </c>
      <c r="AL99" s="54">
        <v>0</v>
      </c>
      <c r="AM99" s="54">
        <f>2^D99 - 1</f>
        <v>1</v>
      </c>
      <c r="AN99" s="54">
        <v>1</v>
      </c>
      <c r="AO99" s="54">
        <v>0</v>
      </c>
      <c r="AP99" s="54" t="s">
        <v>88</v>
      </c>
      <c r="AQ99" s="54">
        <v>0</v>
      </c>
      <c r="AR99" s="55" t="s">
        <v>289</v>
      </c>
    </row>
    <row r="100" spans="1:44" ht="15" thickTop="1" thickBot="1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</row>
    <row r="101" spans="1:44" ht="14.45" thickTop="1">
      <c r="A101" s="41" t="s">
        <v>310</v>
      </c>
      <c r="B101" s="42">
        <v>104</v>
      </c>
      <c r="C101" s="42" t="str">
        <f>DEC2HEX(B101)</f>
        <v>68</v>
      </c>
      <c r="D101" s="48" t="s">
        <v>20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4"/>
      <c r="AK101" s="22"/>
      <c r="AL101" s="22"/>
      <c r="AM101" s="22"/>
      <c r="AN101" s="22"/>
      <c r="AO101" s="22"/>
      <c r="AP101" s="22"/>
      <c r="AQ101" s="22"/>
      <c r="AR101" s="22"/>
    </row>
    <row r="102" spans="1:44" ht="14.45" thickBot="1">
      <c r="A102" s="93" t="s">
        <v>311</v>
      </c>
      <c r="B102" s="46"/>
      <c r="C102" s="46"/>
      <c r="D102" s="50">
        <f>COUNTIF(E102:AJ102,"x")</f>
        <v>32</v>
      </c>
      <c r="E102" s="46" t="s">
        <v>87</v>
      </c>
      <c r="F102" s="46" t="s">
        <v>87</v>
      </c>
      <c r="G102" s="46" t="s">
        <v>87</v>
      </c>
      <c r="H102" s="52" t="s">
        <v>87</v>
      </c>
      <c r="I102" s="46" t="s">
        <v>87</v>
      </c>
      <c r="J102" s="46" t="s">
        <v>87</v>
      </c>
      <c r="K102" s="46" t="s">
        <v>87</v>
      </c>
      <c r="L102" s="63" t="s">
        <v>87</v>
      </c>
      <c r="M102" s="46" t="s">
        <v>87</v>
      </c>
      <c r="N102" s="46" t="s">
        <v>87</v>
      </c>
      <c r="O102" s="46" t="s">
        <v>87</v>
      </c>
      <c r="P102" s="52" t="s">
        <v>87</v>
      </c>
      <c r="Q102" s="46" t="s">
        <v>87</v>
      </c>
      <c r="R102" s="46" t="s">
        <v>87</v>
      </c>
      <c r="S102" s="46" t="s">
        <v>87</v>
      </c>
      <c r="T102" s="63" t="s">
        <v>87</v>
      </c>
      <c r="U102" s="46" t="s">
        <v>87</v>
      </c>
      <c r="V102" s="46" t="s">
        <v>87</v>
      </c>
      <c r="W102" s="46" t="s">
        <v>87</v>
      </c>
      <c r="X102" s="52" t="s">
        <v>87</v>
      </c>
      <c r="Y102" s="46" t="s">
        <v>87</v>
      </c>
      <c r="Z102" s="46" t="s">
        <v>87</v>
      </c>
      <c r="AA102" s="46" t="s">
        <v>87</v>
      </c>
      <c r="AB102" s="63" t="s">
        <v>87</v>
      </c>
      <c r="AC102" s="46" t="s">
        <v>87</v>
      </c>
      <c r="AD102" s="46" t="s">
        <v>87</v>
      </c>
      <c r="AE102" s="46" t="s">
        <v>87</v>
      </c>
      <c r="AF102" s="52" t="s">
        <v>87</v>
      </c>
      <c r="AG102" s="46" t="s">
        <v>87</v>
      </c>
      <c r="AH102" s="46" t="s">
        <v>87</v>
      </c>
      <c r="AI102" s="46" t="s">
        <v>87</v>
      </c>
      <c r="AJ102" s="47" t="s">
        <v>87</v>
      </c>
      <c r="AK102" s="40" t="s">
        <v>27</v>
      </c>
      <c r="AL102" s="54">
        <v>0</v>
      </c>
      <c r="AM102" s="54">
        <f>2^D102 - 1</f>
        <v>4294967295</v>
      </c>
      <c r="AN102" s="54">
        <v>1</v>
      </c>
      <c r="AO102" s="54">
        <v>0</v>
      </c>
      <c r="AP102" s="54" t="s">
        <v>88</v>
      </c>
      <c r="AQ102" s="54">
        <v>0</v>
      </c>
      <c r="AR102" s="55" t="s">
        <v>292</v>
      </c>
    </row>
    <row r="103" spans="1:44" ht="15" thickTop="1" thickBot="1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</row>
    <row r="104" spans="1:44" ht="14.45" thickTop="1">
      <c r="A104" s="41" t="s">
        <v>312</v>
      </c>
      <c r="B104" s="42">
        <v>108</v>
      </c>
      <c r="C104" s="42" t="str">
        <f>DEC2HEX(B104)</f>
        <v>6C</v>
      </c>
      <c r="D104" s="48" t="s">
        <v>20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4"/>
      <c r="AK104" s="22"/>
      <c r="AL104" s="22"/>
      <c r="AM104" s="22"/>
      <c r="AN104" s="22"/>
      <c r="AO104" s="22"/>
      <c r="AP104" s="22"/>
      <c r="AQ104" s="22"/>
      <c r="AR104" s="22"/>
    </row>
    <row r="105" spans="1:44" ht="14.45" thickBot="1">
      <c r="A105" s="93" t="s">
        <v>313</v>
      </c>
      <c r="B105" s="46"/>
      <c r="C105" s="46"/>
      <c r="D105" s="50">
        <f>COUNTIF(E105:AJ105,"x")</f>
        <v>32</v>
      </c>
      <c r="E105" s="46" t="s">
        <v>87</v>
      </c>
      <c r="F105" s="46" t="s">
        <v>87</v>
      </c>
      <c r="G105" s="46" t="s">
        <v>87</v>
      </c>
      <c r="H105" s="52" t="s">
        <v>87</v>
      </c>
      <c r="I105" s="46" t="s">
        <v>87</v>
      </c>
      <c r="J105" s="46" t="s">
        <v>87</v>
      </c>
      <c r="K105" s="46" t="s">
        <v>87</v>
      </c>
      <c r="L105" s="63" t="s">
        <v>87</v>
      </c>
      <c r="M105" s="46" t="s">
        <v>87</v>
      </c>
      <c r="N105" s="46" t="s">
        <v>87</v>
      </c>
      <c r="O105" s="46" t="s">
        <v>87</v>
      </c>
      <c r="P105" s="52" t="s">
        <v>87</v>
      </c>
      <c r="Q105" s="46" t="s">
        <v>87</v>
      </c>
      <c r="R105" s="46" t="s">
        <v>87</v>
      </c>
      <c r="S105" s="46" t="s">
        <v>87</v>
      </c>
      <c r="T105" s="63" t="s">
        <v>87</v>
      </c>
      <c r="U105" s="46" t="s">
        <v>87</v>
      </c>
      <c r="V105" s="46" t="s">
        <v>87</v>
      </c>
      <c r="W105" s="46" t="s">
        <v>87</v>
      </c>
      <c r="X105" s="52" t="s">
        <v>87</v>
      </c>
      <c r="Y105" s="46" t="s">
        <v>87</v>
      </c>
      <c r="Z105" s="46" t="s">
        <v>87</v>
      </c>
      <c r="AA105" s="46" t="s">
        <v>87</v>
      </c>
      <c r="AB105" s="63" t="s">
        <v>87</v>
      </c>
      <c r="AC105" s="46" t="s">
        <v>87</v>
      </c>
      <c r="AD105" s="46" t="s">
        <v>87</v>
      </c>
      <c r="AE105" s="46" t="s">
        <v>87</v>
      </c>
      <c r="AF105" s="52" t="s">
        <v>87</v>
      </c>
      <c r="AG105" s="46" t="s">
        <v>87</v>
      </c>
      <c r="AH105" s="46" t="s">
        <v>87</v>
      </c>
      <c r="AI105" s="46" t="s">
        <v>87</v>
      </c>
      <c r="AJ105" s="47" t="s">
        <v>87</v>
      </c>
      <c r="AK105" s="40" t="s">
        <v>27</v>
      </c>
      <c r="AL105" s="54">
        <v>0</v>
      </c>
      <c r="AM105" s="54">
        <f>2^D105 - 1</f>
        <v>4294967295</v>
      </c>
      <c r="AN105" s="54">
        <v>1</v>
      </c>
      <c r="AO105" s="54">
        <v>0</v>
      </c>
      <c r="AP105" s="54" t="s">
        <v>88</v>
      </c>
      <c r="AQ105" s="54">
        <v>0</v>
      </c>
      <c r="AR105" s="55" t="s">
        <v>295</v>
      </c>
    </row>
    <row r="106" spans="1:44" ht="15" thickTop="1" thickBot="1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</row>
    <row r="107" spans="1:44" ht="14.45" thickTop="1">
      <c r="A107" s="41" t="s">
        <v>314</v>
      </c>
      <c r="B107" s="42">
        <v>112</v>
      </c>
      <c r="C107" s="42" t="str">
        <f>DEC2HEX(B107)</f>
        <v>70</v>
      </c>
      <c r="D107" s="48" t="s">
        <v>23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4"/>
      <c r="AK107" s="22"/>
      <c r="AL107" s="22"/>
      <c r="AM107" s="22"/>
      <c r="AN107" s="22"/>
      <c r="AO107" s="22"/>
      <c r="AP107" s="22"/>
      <c r="AQ107" s="22"/>
      <c r="AR107" s="22"/>
    </row>
    <row r="108" spans="1:44" ht="14.45" thickBot="1">
      <c r="A108" s="93" t="s">
        <v>315</v>
      </c>
      <c r="B108" s="46"/>
      <c r="C108" s="46"/>
      <c r="D108" s="50">
        <f>COUNTIF(E108:AJ108,"x")</f>
        <v>32</v>
      </c>
      <c r="E108" s="46" t="s">
        <v>87</v>
      </c>
      <c r="F108" s="46" t="s">
        <v>87</v>
      </c>
      <c r="G108" s="46" t="s">
        <v>87</v>
      </c>
      <c r="H108" s="52" t="s">
        <v>87</v>
      </c>
      <c r="I108" s="46" t="s">
        <v>87</v>
      </c>
      <c r="J108" s="46" t="s">
        <v>87</v>
      </c>
      <c r="K108" s="46" t="s">
        <v>87</v>
      </c>
      <c r="L108" s="63" t="s">
        <v>87</v>
      </c>
      <c r="M108" s="46" t="s">
        <v>87</v>
      </c>
      <c r="N108" s="46" t="s">
        <v>87</v>
      </c>
      <c r="O108" s="46" t="s">
        <v>87</v>
      </c>
      <c r="P108" s="52" t="s">
        <v>87</v>
      </c>
      <c r="Q108" s="46" t="s">
        <v>87</v>
      </c>
      <c r="R108" s="46" t="s">
        <v>87</v>
      </c>
      <c r="S108" s="46" t="s">
        <v>87</v>
      </c>
      <c r="T108" s="63" t="s">
        <v>87</v>
      </c>
      <c r="U108" s="46" t="s">
        <v>87</v>
      </c>
      <c r="V108" s="46" t="s">
        <v>87</v>
      </c>
      <c r="W108" s="46" t="s">
        <v>87</v>
      </c>
      <c r="X108" s="52" t="s">
        <v>87</v>
      </c>
      <c r="Y108" s="46" t="s">
        <v>87</v>
      </c>
      <c r="Z108" s="46" t="s">
        <v>87</v>
      </c>
      <c r="AA108" s="46" t="s">
        <v>87</v>
      </c>
      <c r="AB108" s="63" t="s">
        <v>87</v>
      </c>
      <c r="AC108" s="46" t="s">
        <v>87</v>
      </c>
      <c r="AD108" s="46" t="s">
        <v>87</v>
      </c>
      <c r="AE108" s="46" t="s">
        <v>87</v>
      </c>
      <c r="AF108" s="52" t="s">
        <v>87</v>
      </c>
      <c r="AG108" s="46" t="s">
        <v>87</v>
      </c>
      <c r="AH108" s="46" t="s">
        <v>87</v>
      </c>
      <c r="AI108" s="46" t="s">
        <v>87</v>
      </c>
      <c r="AJ108" s="47" t="s">
        <v>87</v>
      </c>
      <c r="AK108" s="40" t="s">
        <v>27</v>
      </c>
      <c r="AL108" s="54">
        <v>0</v>
      </c>
      <c r="AM108" s="54">
        <f>2^D108 - 1</f>
        <v>4294967295</v>
      </c>
      <c r="AN108" s="54">
        <v>1</v>
      </c>
      <c r="AO108" s="54">
        <v>0</v>
      </c>
      <c r="AP108" s="54" t="s">
        <v>88</v>
      </c>
      <c r="AQ108" s="54">
        <v>0</v>
      </c>
      <c r="AR108" s="55" t="s">
        <v>298</v>
      </c>
    </row>
    <row r="109" spans="1:44" ht="15" thickTop="1" thickBot="1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</row>
    <row r="110" spans="1:44" ht="14.45" thickTop="1">
      <c r="A110" s="41" t="s">
        <v>316</v>
      </c>
      <c r="B110" s="42">
        <v>116</v>
      </c>
      <c r="C110" s="42" t="str">
        <f>DEC2HEX(B110)</f>
        <v>74</v>
      </c>
      <c r="D110" s="48" t="s">
        <v>23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4"/>
      <c r="AK110" s="22"/>
      <c r="AL110" s="22"/>
      <c r="AM110" s="22"/>
      <c r="AN110" s="22"/>
      <c r="AO110" s="22"/>
      <c r="AP110" s="22"/>
      <c r="AQ110" s="22"/>
      <c r="AR110" s="22"/>
    </row>
    <row r="111" spans="1:44" ht="14.45" thickBot="1">
      <c r="A111" s="93" t="s">
        <v>317</v>
      </c>
      <c r="B111" s="46"/>
      <c r="C111" s="46"/>
      <c r="D111" s="50">
        <f>COUNTIF(E111:AJ111,"x")</f>
        <v>32</v>
      </c>
      <c r="E111" s="46" t="s">
        <v>87</v>
      </c>
      <c r="F111" s="46" t="s">
        <v>87</v>
      </c>
      <c r="G111" s="46" t="s">
        <v>87</v>
      </c>
      <c r="H111" s="52" t="s">
        <v>87</v>
      </c>
      <c r="I111" s="46" t="s">
        <v>87</v>
      </c>
      <c r="J111" s="46" t="s">
        <v>87</v>
      </c>
      <c r="K111" s="46" t="s">
        <v>87</v>
      </c>
      <c r="L111" s="63" t="s">
        <v>87</v>
      </c>
      <c r="M111" s="46" t="s">
        <v>87</v>
      </c>
      <c r="N111" s="46" t="s">
        <v>87</v>
      </c>
      <c r="O111" s="46" t="s">
        <v>87</v>
      </c>
      <c r="P111" s="52" t="s">
        <v>87</v>
      </c>
      <c r="Q111" s="46" t="s">
        <v>87</v>
      </c>
      <c r="R111" s="46" t="s">
        <v>87</v>
      </c>
      <c r="S111" s="46" t="s">
        <v>87</v>
      </c>
      <c r="T111" s="63" t="s">
        <v>87</v>
      </c>
      <c r="U111" s="46" t="s">
        <v>87</v>
      </c>
      <c r="V111" s="46" t="s">
        <v>87</v>
      </c>
      <c r="W111" s="46" t="s">
        <v>87</v>
      </c>
      <c r="X111" s="52" t="s">
        <v>87</v>
      </c>
      <c r="Y111" s="46" t="s">
        <v>87</v>
      </c>
      <c r="Z111" s="46" t="s">
        <v>87</v>
      </c>
      <c r="AA111" s="46" t="s">
        <v>87</v>
      </c>
      <c r="AB111" s="63" t="s">
        <v>87</v>
      </c>
      <c r="AC111" s="46" t="s">
        <v>87</v>
      </c>
      <c r="AD111" s="46" t="s">
        <v>87</v>
      </c>
      <c r="AE111" s="46" t="s">
        <v>87</v>
      </c>
      <c r="AF111" s="52" t="s">
        <v>87</v>
      </c>
      <c r="AG111" s="46" t="s">
        <v>87</v>
      </c>
      <c r="AH111" s="46" t="s">
        <v>87</v>
      </c>
      <c r="AI111" s="46" t="s">
        <v>87</v>
      </c>
      <c r="AJ111" s="47" t="s">
        <v>87</v>
      </c>
      <c r="AK111" s="40" t="s">
        <v>27</v>
      </c>
      <c r="AL111" s="54">
        <v>0</v>
      </c>
      <c r="AM111" s="54">
        <f>2^D111 - 1</f>
        <v>4294967295</v>
      </c>
      <c r="AN111" s="54">
        <v>1</v>
      </c>
      <c r="AO111" s="54">
        <v>0</v>
      </c>
      <c r="AP111" s="54" t="s">
        <v>88</v>
      </c>
      <c r="AQ111" s="54">
        <v>0</v>
      </c>
      <c r="AR111" s="55" t="s">
        <v>301</v>
      </c>
    </row>
    <row r="112" spans="1:44" ht="15" thickTop="1" thickBot="1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</row>
    <row r="113" spans="1:44" ht="14.45" thickTop="1">
      <c r="A113" s="41" t="s">
        <v>318</v>
      </c>
      <c r="B113" s="42">
        <v>120</v>
      </c>
      <c r="C113" s="42" t="str">
        <f>DEC2HEX(B113)</f>
        <v>78</v>
      </c>
      <c r="D113" s="48" t="s">
        <v>23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4"/>
      <c r="AK113" s="22"/>
      <c r="AL113" s="22"/>
      <c r="AM113" s="22"/>
      <c r="AN113" s="22"/>
      <c r="AO113" s="22"/>
      <c r="AP113" s="22"/>
      <c r="AQ113" s="22"/>
      <c r="AR113" s="22"/>
    </row>
    <row r="114" spans="1:44" ht="14.45" thickBot="1">
      <c r="A114" s="93" t="s">
        <v>319</v>
      </c>
      <c r="B114" s="46"/>
      <c r="C114" s="46"/>
      <c r="D114" s="50">
        <f>COUNTIF(E114:AJ114,"x")</f>
        <v>32</v>
      </c>
      <c r="E114" s="46" t="s">
        <v>87</v>
      </c>
      <c r="F114" s="46" t="s">
        <v>87</v>
      </c>
      <c r="G114" s="46" t="s">
        <v>87</v>
      </c>
      <c r="H114" s="52" t="s">
        <v>87</v>
      </c>
      <c r="I114" s="46" t="s">
        <v>87</v>
      </c>
      <c r="J114" s="46" t="s">
        <v>87</v>
      </c>
      <c r="K114" s="46" t="s">
        <v>87</v>
      </c>
      <c r="L114" s="63" t="s">
        <v>87</v>
      </c>
      <c r="M114" s="46" t="s">
        <v>87</v>
      </c>
      <c r="N114" s="46" t="s">
        <v>87</v>
      </c>
      <c r="O114" s="46" t="s">
        <v>87</v>
      </c>
      <c r="P114" s="52" t="s">
        <v>87</v>
      </c>
      <c r="Q114" s="46" t="s">
        <v>87</v>
      </c>
      <c r="R114" s="46" t="s">
        <v>87</v>
      </c>
      <c r="S114" s="46" t="s">
        <v>87</v>
      </c>
      <c r="T114" s="63" t="s">
        <v>87</v>
      </c>
      <c r="U114" s="46" t="s">
        <v>87</v>
      </c>
      <c r="V114" s="46" t="s">
        <v>87</v>
      </c>
      <c r="W114" s="46" t="s">
        <v>87</v>
      </c>
      <c r="X114" s="52" t="s">
        <v>87</v>
      </c>
      <c r="Y114" s="46" t="s">
        <v>87</v>
      </c>
      <c r="Z114" s="46" t="s">
        <v>87</v>
      </c>
      <c r="AA114" s="46" t="s">
        <v>87</v>
      </c>
      <c r="AB114" s="63" t="s">
        <v>87</v>
      </c>
      <c r="AC114" s="46" t="s">
        <v>87</v>
      </c>
      <c r="AD114" s="46" t="s">
        <v>87</v>
      </c>
      <c r="AE114" s="46" t="s">
        <v>87</v>
      </c>
      <c r="AF114" s="52" t="s">
        <v>87</v>
      </c>
      <c r="AG114" s="46" t="s">
        <v>87</v>
      </c>
      <c r="AH114" s="46" t="s">
        <v>87</v>
      </c>
      <c r="AI114" s="46" t="s">
        <v>87</v>
      </c>
      <c r="AJ114" s="47" t="s">
        <v>87</v>
      </c>
      <c r="AK114" s="40" t="s">
        <v>27</v>
      </c>
      <c r="AL114" s="54">
        <v>0</v>
      </c>
      <c r="AM114" s="54">
        <f>2^D114 - 1</f>
        <v>4294967295</v>
      </c>
      <c r="AN114" s="54">
        <v>1</v>
      </c>
      <c r="AO114" s="54">
        <v>0</v>
      </c>
      <c r="AP114" s="54" t="s">
        <v>88</v>
      </c>
      <c r="AQ114" s="54">
        <v>0</v>
      </c>
      <c r="AR114" s="55" t="s">
        <v>304</v>
      </c>
    </row>
    <row r="115" spans="1:44" ht="15" thickTop="1" thickBot="1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</row>
    <row r="116" spans="1:44" ht="14.45" thickTop="1">
      <c r="A116" s="41" t="s">
        <v>320</v>
      </c>
      <c r="B116" s="42">
        <v>124</v>
      </c>
      <c r="C116" s="42" t="str">
        <f>DEC2HEX(B116)</f>
        <v>7C</v>
      </c>
      <c r="D116" s="48" t="s">
        <v>23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4"/>
      <c r="AK116" s="22"/>
      <c r="AL116" s="22"/>
      <c r="AM116" s="22"/>
      <c r="AN116" s="22"/>
      <c r="AO116" s="22"/>
      <c r="AP116" s="22"/>
      <c r="AQ116" s="22"/>
      <c r="AR116" s="22"/>
    </row>
    <row r="117" spans="1:44" ht="14.45" thickBot="1">
      <c r="A117" s="93" t="s">
        <v>321</v>
      </c>
      <c r="B117" s="46"/>
      <c r="C117" s="46"/>
      <c r="D117" s="50">
        <f>COUNTIF(E117:AJ117,"x")</f>
        <v>32</v>
      </c>
      <c r="E117" s="46" t="s">
        <v>87</v>
      </c>
      <c r="F117" s="46" t="s">
        <v>87</v>
      </c>
      <c r="G117" s="46" t="s">
        <v>87</v>
      </c>
      <c r="H117" s="52" t="s">
        <v>87</v>
      </c>
      <c r="I117" s="46" t="s">
        <v>87</v>
      </c>
      <c r="J117" s="46" t="s">
        <v>87</v>
      </c>
      <c r="K117" s="46" t="s">
        <v>87</v>
      </c>
      <c r="L117" s="63" t="s">
        <v>87</v>
      </c>
      <c r="M117" s="46" t="s">
        <v>87</v>
      </c>
      <c r="N117" s="46" t="s">
        <v>87</v>
      </c>
      <c r="O117" s="46" t="s">
        <v>87</v>
      </c>
      <c r="P117" s="52" t="s">
        <v>87</v>
      </c>
      <c r="Q117" s="46" t="s">
        <v>87</v>
      </c>
      <c r="R117" s="46" t="s">
        <v>87</v>
      </c>
      <c r="S117" s="46" t="s">
        <v>87</v>
      </c>
      <c r="T117" s="63" t="s">
        <v>87</v>
      </c>
      <c r="U117" s="46" t="s">
        <v>87</v>
      </c>
      <c r="V117" s="46" t="s">
        <v>87</v>
      </c>
      <c r="W117" s="46" t="s">
        <v>87</v>
      </c>
      <c r="X117" s="52" t="s">
        <v>87</v>
      </c>
      <c r="Y117" s="46" t="s">
        <v>87</v>
      </c>
      <c r="Z117" s="46" t="s">
        <v>87</v>
      </c>
      <c r="AA117" s="46" t="s">
        <v>87</v>
      </c>
      <c r="AB117" s="63" t="s">
        <v>87</v>
      </c>
      <c r="AC117" s="46" t="s">
        <v>87</v>
      </c>
      <c r="AD117" s="46" t="s">
        <v>87</v>
      </c>
      <c r="AE117" s="46" t="s">
        <v>87</v>
      </c>
      <c r="AF117" s="52" t="s">
        <v>87</v>
      </c>
      <c r="AG117" s="46" t="s">
        <v>87</v>
      </c>
      <c r="AH117" s="46" t="s">
        <v>87</v>
      </c>
      <c r="AI117" s="46" t="s">
        <v>87</v>
      </c>
      <c r="AJ117" s="47" t="s">
        <v>87</v>
      </c>
      <c r="AK117" s="40" t="s">
        <v>27</v>
      </c>
      <c r="AL117" s="54">
        <v>0</v>
      </c>
      <c r="AM117" s="54">
        <f>2^D117 - 1</f>
        <v>4294967295</v>
      </c>
      <c r="AN117" s="54">
        <v>1</v>
      </c>
      <c r="AO117" s="54">
        <v>0</v>
      </c>
      <c r="AP117" s="54" t="s">
        <v>88</v>
      </c>
      <c r="AQ117" s="54">
        <v>0</v>
      </c>
      <c r="AR117" s="55" t="s">
        <v>307</v>
      </c>
    </row>
    <row r="118" spans="1:44" ht="14.45" thickTop="1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</row>
    <row r="119" spans="1:44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</row>
    <row r="120" spans="1:44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1:44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</row>
    <row r="122" spans="1:44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</row>
    <row r="123" spans="1:44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</row>
    <row r="124" spans="1:44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</row>
    <row r="125" spans="1:44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</row>
    <row r="126" spans="1:44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</row>
    <row r="127" spans="1:44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</row>
    <row r="128" spans="1:44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</row>
    <row r="129" spans="1:44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</row>
    <row r="130" spans="1:44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</row>
    <row r="131" spans="1:44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</row>
    <row r="132" spans="1:44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</row>
    <row r="133" spans="1:44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</row>
    <row r="134" spans="1:44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</row>
    <row r="135" spans="1:44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</row>
    <row r="136" spans="1:44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</row>
    <row r="137" spans="1:44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</row>
    <row r="138" spans="1:44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</row>
    <row r="139" spans="1:44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</row>
    <row r="140" spans="1:44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</row>
    <row r="141" spans="1:44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</row>
    <row r="142" spans="1:44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</row>
    <row r="143" spans="1:44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</row>
    <row r="144" spans="1:44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</row>
    <row r="145" spans="1:44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</row>
    <row r="146" spans="1:44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</row>
    <row r="147" spans="1:44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</row>
    <row r="148" spans="1:44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</row>
    <row r="150" spans="1:44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</row>
    <row r="151" spans="1:44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</row>
    <row r="153" spans="1:44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</row>
    <row r="154" spans="1:44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</row>
    <row r="155" spans="1:44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</row>
    <row r="156" spans="1:44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</row>
    <row r="157" spans="1:44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</row>
    <row r="158" spans="1:44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</row>
    <row r="159" spans="1:44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</row>
    <row r="160" spans="1:44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</row>
    <row r="163" spans="1:44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</row>
    <row r="164" spans="1:44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</row>
  </sheetData>
  <mergeCells count="8">
    <mergeCell ref="A2:B2"/>
    <mergeCell ref="A5:B5"/>
    <mergeCell ref="E2:AR2"/>
    <mergeCell ref="E3:L3"/>
    <mergeCell ref="E4:L4"/>
    <mergeCell ref="M3:AB3"/>
    <mergeCell ref="M4:AB4"/>
    <mergeCell ref="AC3:AR4"/>
  </mergeCells>
  <conditionalFormatting sqref="A18:AJ20 A36:AJ37">
    <cfRule type="cellIs" dxfId="53" priority="53" stopIfTrue="1" operator="equal">
      <formula>"x"</formula>
    </cfRule>
    <cfRule type="cellIs" priority="54" stopIfTrue="1" operator="equal">
      <formula>"x"</formula>
    </cfRule>
    <cfRule type="cellIs" priority="55" stopIfTrue="1" operator="equal">
      <formula>"x"</formula>
    </cfRule>
  </conditionalFormatting>
  <conditionalFormatting sqref="A15:AJ15 A9:AJ12">
    <cfRule type="cellIs" dxfId="52" priority="59" stopIfTrue="1" operator="equal">
      <formula>"x"</formula>
    </cfRule>
    <cfRule type="cellIs" priority="60" stopIfTrue="1" operator="equal">
      <formula>"x"</formula>
    </cfRule>
    <cfRule type="cellIs" priority="61" stopIfTrue="1" operator="equal">
      <formula>"x"</formula>
    </cfRule>
    <cfRule type="cellIs" priority="62" stopIfTrue="1" operator="equal">
      <formula>"x"</formula>
    </cfRule>
  </conditionalFormatting>
  <conditionalFormatting sqref="A17:AJ17">
    <cfRule type="cellIs" dxfId="51" priority="63" stopIfTrue="1" operator="equal">
      <formula>"x"</formula>
    </cfRule>
    <cfRule type="cellIs" priority="64" stopIfTrue="1" operator="equal">
      <formula>"x"</formula>
    </cfRule>
    <cfRule type="cellIs" priority="65" stopIfTrue="1" operator="equal">
      <formula>"x"</formula>
    </cfRule>
  </conditionalFormatting>
  <conditionalFormatting sqref="A34:AJ34">
    <cfRule type="cellIs" dxfId="50" priority="66" stopIfTrue="1" operator="equal">
      <formula>"x"</formula>
    </cfRule>
    <cfRule type="cellIs" priority="67" stopIfTrue="1" operator="equal">
      <formula>"x"</formula>
    </cfRule>
    <cfRule type="cellIs" priority="68" stopIfTrue="1" operator="equal">
      <formula>"x"</formula>
    </cfRule>
  </conditionalFormatting>
  <conditionalFormatting sqref="A35:AJ35">
    <cfRule type="cellIs" dxfId="49" priority="50" stopIfTrue="1" operator="equal">
      <formula>"x"</formula>
    </cfRule>
    <cfRule type="cellIs" priority="51" stopIfTrue="1" operator="equal">
      <formula>"x"</formula>
    </cfRule>
    <cfRule type="cellIs" priority="52" stopIfTrue="1" operator="equal">
      <formula>"x"</formula>
    </cfRule>
  </conditionalFormatting>
  <conditionalFormatting sqref="A22:AJ23">
    <cfRule type="cellIs" dxfId="48" priority="70" stopIfTrue="1" operator="equal">
      <formula>"x"</formula>
    </cfRule>
  </conditionalFormatting>
  <conditionalFormatting sqref="A25:AJ26">
    <cfRule type="cellIs" dxfId="47" priority="71" stopIfTrue="1" operator="equal">
      <formula>"x"</formula>
    </cfRule>
  </conditionalFormatting>
  <conditionalFormatting sqref="A39:AJ40">
    <cfRule type="cellIs" dxfId="46" priority="48" stopIfTrue="1" operator="equal">
      <formula>"x"</formula>
    </cfRule>
  </conditionalFormatting>
  <conditionalFormatting sqref="A42:AJ43">
    <cfRule type="cellIs" dxfId="45" priority="49" stopIfTrue="1" operator="equal">
      <formula>"x"</formula>
    </cfRule>
  </conditionalFormatting>
  <conditionalFormatting sqref="A28:AJ29">
    <cfRule type="cellIs" dxfId="44" priority="46" stopIfTrue="1" operator="equal">
      <formula>"x"</formula>
    </cfRule>
  </conditionalFormatting>
  <conditionalFormatting sqref="A31:AJ31 B32:AJ32">
    <cfRule type="cellIs" dxfId="43" priority="47" stopIfTrue="1" operator="equal">
      <formula>"x"</formula>
    </cfRule>
  </conditionalFormatting>
  <conditionalFormatting sqref="A32">
    <cfRule type="cellIs" dxfId="42" priority="45" stopIfTrue="1" operator="equal">
      <formula>"x"</formula>
    </cfRule>
  </conditionalFormatting>
  <conditionalFormatting sqref="A45:AJ46">
    <cfRule type="cellIs" dxfId="41" priority="43" stopIfTrue="1" operator="equal">
      <formula>"x"</formula>
    </cfRule>
  </conditionalFormatting>
  <conditionalFormatting sqref="A48:AJ48 B49:AJ49">
    <cfRule type="cellIs" dxfId="40" priority="44" stopIfTrue="1" operator="equal">
      <formula>"x"</formula>
    </cfRule>
  </conditionalFormatting>
  <conditionalFormatting sqref="A49">
    <cfRule type="cellIs" dxfId="39" priority="42" stopIfTrue="1" operator="equal">
      <formula>"x"</formula>
    </cfRule>
  </conditionalFormatting>
  <conditionalFormatting sqref="A61:AJ75">
    <cfRule type="cellIs" dxfId="38" priority="72" stopIfTrue="1" operator="equal">
      <formula>"x"</formula>
    </cfRule>
    <cfRule type="cellIs" priority="73" stopIfTrue="1" operator="equal">
      <formula>"x"</formula>
    </cfRule>
    <cfRule type="cellIs" priority="74" stopIfTrue="1" operator="equal">
      <formula>"x"</formula>
    </cfRule>
    <cfRule type="cellIs" priority="75" stopIfTrue="1" operator="equal">
      <formula>"x"</formula>
    </cfRule>
    <cfRule type="cellIs" priority="76" stopIfTrue="1" operator="equal">
      <formula>"x"</formula>
    </cfRule>
    <cfRule type="cellIs" priority="77" stopIfTrue="1" operator="equal">
      <formula>"x"</formula>
    </cfRule>
    <cfRule type="cellIs" priority="78" stopIfTrue="1" operator="equal">
      <formula>"x"</formula>
    </cfRule>
    <cfRule type="cellIs" priority="79" stopIfTrue="1" operator="equal">
      <formula>"x"</formula>
    </cfRule>
    <cfRule type="cellIs" priority="80" stopIfTrue="1" operator="equal">
      <formula>"x"</formula>
    </cfRule>
    <cfRule type="cellIs" priority="81" stopIfTrue="1" operator="equal">
      <formula>"x"</formula>
    </cfRule>
    <cfRule type="cellIs" priority="82" stopIfTrue="1" operator="equal">
      <formula>"x"</formula>
    </cfRule>
    <cfRule type="cellIs" priority="83" stopIfTrue="1" operator="equal">
      <formula>"x"</formula>
    </cfRule>
  </conditionalFormatting>
  <conditionalFormatting sqref="A14:AJ14">
    <cfRule type="cellIs" dxfId="37" priority="38" stopIfTrue="1" operator="equal">
      <formula>"x"</formula>
    </cfRule>
    <cfRule type="cellIs" priority="39" stopIfTrue="1" operator="equal">
      <formula>"x"</formula>
    </cfRule>
    <cfRule type="cellIs" priority="40" stopIfTrue="1" operator="equal">
      <formula>"x"</formula>
    </cfRule>
    <cfRule type="cellIs" priority="41" stopIfTrue="1" operator="equal">
      <formula>"x"</formula>
    </cfRule>
  </conditionalFormatting>
  <conditionalFormatting sqref="B13:AJ13">
    <cfRule type="cellIs" dxfId="36" priority="34" stopIfTrue="1" operator="equal">
      <formula>"x"</formula>
    </cfRule>
    <cfRule type="cellIs" priority="35" stopIfTrue="1" operator="equal">
      <formula>"x"</formula>
    </cfRule>
    <cfRule type="cellIs" priority="36" stopIfTrue="1" operator="equal">
      <formula>"x"</formula>
    </cfRule>
    <cfRule type="cellIs" priority="37" stopIfTrue="1" operator="equal">
      <formula>"x"</formula>
    </cfRule>
  </conditionalFormatting>
  <conditionalFormatting sqref="A13">
    <cfRule type="cellIs" dxfId="35" priority="30" stopIfTrue="1" operator="equal">
      <formula>"x"</formula>
    </cfRule>
    <cfRule type="cellIs" priority="31" stopIfTrue="1" operator="equal">
      <formula>"x"</formula>
    </cfRule>
    <cfRule type="cellIs" priority="32" stopIfTrue="1" operator="equal">
      <formula>"x"</formula>
    </cfRule>
    <cfRule type="cellIs" priority="33" stopIfTrue="1" operator="equal">
      <formula>"x"</formula>
    </cfRule>
  </conditionalFormatting>
  <conditionalFormatting sqref="A55:AJ56">
    <cfRule type="cellIs" dxfId="34" priority="85" stopIfTrue="1" operator="equal">
      <formula>"x"</formula>
    </cfRule>
  </conditionalFormatting>
  <conditionalFormatting sqref="A51:AJ53">
    <cfRule type="cellIs" dxfId="33" priority="86" stopIfTrue="1" operator="equal">
      <formula>"x"</formula>
    </cfRule>
  </conditionalFormatting>
  <conditionalFormatting sqref="A51:AJ53">
    <cfRule type="cellIs" priority="87" stopIfTrue="1" operator="equal">
      <formula>"x"</formula>
    </cfRule>
  </conditionalFormatting>
  <conditionalFormatting sqref="A58:AJ59">
    <cfRule type="cellIs" dxfId="32" priority="29" stopIfTrue="1" operator="equal">
      <formula>"x"</formula>
    </cfRule>
  </conditionalFormatting>
  <conditionalFormatting sqref="A80:AJ81">
    <cfRule type="cellIs" dxfId="31" priority="89" stopIfTrue="1" operator="equal">
      <formula>"x"</formula>
    </cfRule>
  </conditionalFormatting>
  <conditionalFormatting sqref="A83:AJ83 B84:D84">
    <cfRule type="cellIs" dxfId="30" priority="90" stopIfTrue="1" operator="equal">
      <formula>"x"</formula>
    </cfRule>
  </conditionalFormatting>
  <conditionalFormatting sqref="A86:AJ86 A87:D87">
    <cfRule type="cellIs" dxfId="29" priority="91" stopIfTrue="1" operator="equal">
      <formula>"x"</formula>
    </cfRule>
  </conditionalFormatting>
  <conditionalFormatting sqref="A89:AJ89 B90:D90">
    <cfRule type="cellIs" dxfId="28" priority="92" stopIfTrue="1" operator="equal">
      <formula>"x"</formula>
    </cfRule>
  </conditionalFormatting>
  <conditionalFormatting sqref="E84:AJ84">
    <cfRule type="cellIs" dxfId="27" priority="28" stopIfTrue="1" operator="equal">
      <formula>"x"</formula>
    </cfRule>
  </conditionalFormatting>
  <conditionalFormatting sqref="E87:AJ87">
    <cfRule type="cellIs" dxfId="26" priority="27" stopIfTrue="1" operator="equal">
      <formula>"x"</formula>
    </cfRule>
  </conditionalFormatting>
  <conditionalFormatting sqref="E90:AJ90">
    <cfRule type="cellIs" dxfId="25" priority="26" stopIfTrue="1" operator="equal">
      <formula>"x"</formula>
    </cfRule>
  </conditionalFormatting>
  <conditionalFormatting sqref="A92:AJ92 B93:D93">
    <cfRule type="cellIs" dxfId="24" priority="93" stopIfTrue="1" operator="equal">
      <formula>"x"</formula>
    </cfRule>
  </conditionalFormatting>
  <conditionalFormatting sqref="A95:AJ95 B96:D96">
    <cfRule type="cellIs" dxfId="23" priority="94" stopIfTrue="1" operator="equal">
      <formula>"x"</formula>
    </cfRule>
  </conditionalFormatting>
  <conditionalFormatting sqref="A84">
    <cfRule type="cellIs" dxfId="22" priority="25" stopIfTrue="1" operator="equal">
      <formula>"x"</formula>
    </cfRule>
  </conditionalFormatting>
  <conditionalFormatting sqref="A90">
    <cfRule type="cellIs" dxfId="21" priority="24" stopIfTrue="1" operator="equal">
      <formula>"x"</formula>
    </cfRule>
  </conditionalFormatting>
  <conditionalFormatting sqref="A93">
    <cfRule type="cellIs" dxfId="20" priority="23" stopIfTrue="1" operator="equal">
      <formula>"x"</formula>
    </cfRule>
  </conditionalFormatting>
  <conditionalFormatting sqref="A96">
    <cfRule type="cellIs" dxfId="19" priority="22" stopIfTrue="1" operator="equal">
      <formula>"x"</formula>
    </cfRule>
  </conditionalFormatting>
  <conditionalFormatting sqref="E93:AJ93">
    <cfRule type="cellIs" dxfId="18" priority="21" stopIfTrue="1" operator="equal">
      <formula>"x"</formula>
    </cfRule>
  </conditionalFormatting>
  <conditionalFormatting sqref="E96:AJ96">
    <cfRule type="cellIs" dxfId="17" priority="20" stopIfTrue="1" operator="equal">
      <formula>"x"</formula>
    </cfRule>
  </conditionalFormatting>
  <conditionalFormatting sqref="A77:AJ78">
    <cfRule type="cellIs" dxfId="16" priority="18" stopIfTrue="1" operator="equal">
      <formula>"x"</formula>
    </cfRule>
  </conditionalFormatting>
  <conditionalFormatting sqref="A77:AJ78">
    <cfRule type="cellIs" priority="19" stopIfTrue="1" operator="equal">
      <formula>"x"</formula>
    </cfRule>
  </conditionalFormatting>
  <conditionalFormatting sqref="A101:AJ102">
    <cfRule type="cellIs" dxfId="15" priority="12" stopIfTrue="1" operator="equal">
      <formula>"x"</formula>
    </cfRule>
  </conditionalFormatting>
  <conditionalFormatting sqref="A104:AJ104 B105:D105">
    <cfRule type="cellIs" dxfId="14" priority="13" stopIfTrue="1" operator="equal">
      <formula>"x"</formula>
    </cfRule>
  </conditionalFormatting>
  <conditionalFormatting sqref="A107:AJ107 A108:D108">
    <cfRule type="cellIs" dxfId="13" priority="14" stopIfTrue="1" operator="equal">
      <formula>"x"</formula>
    </cfRule>
  </conditionalFormatting>
  <conditionalFormatting sqref="A110:AJ110 B111:D111">
    <cfRule type="cellIs" dxfId="12" priority="15" stopIfTrue="1" operator="equal">
      <formula>"x"</formula>
    </cfRule>
  </conditionalFormatting>
  <conditionalFormatting sqref="E105:AJ105">
    <cfRule type="cellIs" dxfId="11" priority="11" stopIfTrue="1" operator="equal">
      <formula>"x"</formula>
    </cfRule>
  </conditionalFormatting>
  <conditionalFormatting sqref="E108:AJ108">
    <cfRule type="cellIs" dxfId="10" priority="10" stopIfTrue="1" operator="equal">
      <formula>"x"</formula>
    </cfRule>
  </conditionalFormatting>
  <conditionalFormatting sqref="E111:AJ111">
    <cfRule type="cellIs" dxfId="9" priority="9" stopIfTrue="1" operator="equal">
      <formula>"x"</formula>
    </cfRule>
  </conditionalFormatting>
  <conditionalFormatting sqref="A113:AJ113 B114:D114">
    <cfRule type="cellIs" dxfId="8" priority="16" stopIfTrue="1" operator="equal">
      <formula>"x"</formula>
    </cfRule>
  </conditionalFormatting>
  <conditionalFormatting sqref="A116:AJ116 B117:D117">
    <cfRule type="cellIs" dxfId="7" priority="17" stopIfTrue="1" operator="equal">
      <formula>"x"</formula>
    </cfRule>
  </conditionalFormatting>
  <conditionalFormatting sqref="A105">
    <cfRule type="cellIs" dxfId="6" priority="8" stopIfTrue="1" operator="equal">
      <formula>"x"</formula>
    </cfRule>
  </conditionalFormatting>
  <conditionalFormatting sqref="A111">
    <cfRule type="cellIs" dxfId="5" priority="7" stopIfTrue="1" operator="equal">
      <formula>"x"</formula>
    </cfRule>
  </conditionalFormatting>
  <conditionalFormatting sqref="A114">
    <cfRule type="cellIs" dxfId="4" priority="6" stopIfTrue="1" operator="equal">
      <formula>"x"</formula>
    </cfRule>
  </conditionalFormatting>
  <conditionalFormatting sqref="A117">
    <cfRule type="cellIs" dxfId="3" priority="5" stopIfTrue="1" operator="equal">
      <formula>"x"</formula>
    </cfRule>
  </conditionalFormatting>
  <conditionalFormatting sqref="E114:AJ114">
    <cfRule type="cellIs" dxfId="2" priority="4" stopIfTrue="1" operator="equal">
      <formula>"x"</formula>
    </cfRule>
  </conditionalFormatting>
  <conditionalFormatting sqref="E117:AJ117">
    <cfRule type="cellIs" dxfId="1" priority="3" stopIfTrue="1" operator="equal">
      <formula>"x"</formula>
    </cfRule>
  </conditionalFormatting>
  <conditionalFormatting sqref="A98:AJ99">
    <cfRule type="cellIs" dxfId="0" priority="1" stopIfTrue="1" operator="equal">
      <formula>"x"</formula>
    </cfRule>
  </conditionalFormatting>
  <conditionalFormatting sqref="A98:AJ99">
    <cfRule type="cellIs" priority="2" stopIfTrue="1" operator="equal">
      <formula>"x"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Add">
              <controlPr defaultSize="0" print="0" autoFill="0" autoPict="0" macro="[0]!addRegister">
                <anchor moveWithCells="1" sizeWithCells="1">
                  <from>
                    <xdr:col>29</xdr:col>
                    <xdr:colOff>83820</xdr:colOff>
                    <xdr:row>2</xdr:row>
                    <xdr:rowOff>45720</xdr:rowOff>
                  </from>
                  <to>
                    <xdr:col>38</xdr:col>
                    <xdr:colOff>198120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AddIrqReg">
              <controlPr defaultSize="0" print="0" autoFill="0" autoPict="0" macro="[0]!addIrqRegisters">
                <anchor moveWithCells="1" sizeWithCells="1">
                  <from>
                    <xdr:col>38</xdr:col>
                    <xdr:colOff>708660</xdr:colOff>
                    <xdr:row>2</xdr:row>
                    <xdr:rowOff>45720</xdr:rowOff>
                  </from>
                  <to>
                    <xdr:col>42</xdr:col>
                    <xdr:colOff>259080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Remove">
              <controlPr defaultSize="0" print="0" autoFill="0" autoPict="0" macro="[0]!removeRegister">
                <anchor moveWithCells="1" sizeWithCells="1">
                  <from>
                    <xdr:col>42</xdr:col>
                    <xdr:colOff>762000</xdr:colOff>
                    <xdr:row>2</xdr:row>
                    <xdr:rowOff>45720</xdr:rowOff>
                  </from>
                  <to>
                    <xdr:col>43</xdr:col>
                    <xdr:colOff>2286000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UpdateAddr">
              <controlPr defaultSize="0" print="0" autoFill="0" autoPict="0" macro="[0]!updateAddress">
                <anchor moveWithCells="1" sizeWithCells="1">
                  <from>
                    <xdr:col>43</xdr:col>
                    <xdr:colOff>2788920</xdr:colOff>
                    <xdr:row>2</xdr:row>
                    <xdr:rowOff>45720</xdr:rowOff>
                  </from>
                  <to>
                    <xdr:col>43</xdr:col>
                    <xdr:colOff>5128260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Collapse">
              <controlPr defaultSize="0" autoFill="0" autoLine="0" autoPict="0" macro="[0]!collapseRegisterList">
                <anchor moveWithCells="1">
                  <from>
                    <xdr:col>0</xdr:col>
                    <xdr:colOff>38100</xdr:colOff>
                    <xdr:row>4</xdr:row>
                    <xdr:rowOff>60960</xdr:rowOff>
                  </from>
                  <to>
                    <xdr:col>0</xdr:col>
                    <xdr:colOff>3436620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Summary!$L$8:$L$11</xm:f>
          </x14:formula1>
          <xm:sqref>D9 D17 D34 D22 D25 D39 D42 D28 D31 D45 D48 D55 D51 D58 D80 D83 D86 D89 D92 D95 D77 D101 D104 D107 D110 D113 D116 D98</xm:sqref>
        </x14:dataValidation>
        <x14:dataValidation type="list" allowBlank="1" showInputMessage="1" showErrorMessage="1" xr:uid="{00000000-0002-0000-0300-000001000000}">
          <x14:formula1>
            <xm:f>Summary!$M$8:$M$13</xm:f>
          </x14:formula1>
          <xm:sqref>AK18:AK20 AK35:AK37 AK23 AK26 AK40 AK43 AK29 AK32 AK46 AK49 AK99 AK10:AK15 AK56 AK52:AK53 AK59 AK81 AK84 AK87 AK90 AK93 AK96 AK78 AK102 AK105 AK108 AK111 AK114 AK117 AK66:AK75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Thales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CHIRON Mathias</dc:creator>
  <cp:keywords/>
  <dc:description/>
  <cp:lastModifiedBy>Babacar LO</cp:lastModifiedBy>
  <cp:revision/>
  <dcterms:created xsi:type="dcterms:W3CDTF">2020-09-03T19:22:04Z</dcterms:created>
  <dcterms:modified xsi:type="dcterms:W3CDTF">2025-02-23T23:00:10Z</dcterms:modified>
  <cp:category/>
  <cp:contentStatus/>
</cp:coreProperties>
</file>